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E:\web-projects\adda.edu.az\tools\migration\data\"/>
    </mc:Choice>
  </mc:AlternateContent>
  <xr:revisionPtr revIDLastSave="0" documentId="8_{755F6F46-F7DB-4B44-B5EA-3BCC295C6FA6}" xr6:coauthVersionLast="47" xr6:coauthVersionMax="47" xr10:uidLastSave="{00000000-0000-0000-0000-000000000000}"/>
  <bookViews>
    <workbookView xWindow="-108" yWindow="-108" windowWidth="23256" windowHeight="12456" tabRatio="585" xr2:uid="{00000000-000D-0000-FFFF-FFFF00000000}"/>
  </bookViews>
  <sheets>
    <sheet name="TP1 " sheetId="5" r:id="rId1"/>
    <sheet name="razılasdırma" sheetId="6" r:id="rId2"/>
  </sheets>
  <definedNames>
    <definedName name="_xlnm._FilterDatabase" localSheetId="0" hidden="1">'TP1 '!$BB$33:$BE$86</definedName>
    <definedName name="_xlnm.Print_Area" localSheetId="0">'TP1 '!$A$1:$BH$106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0" i="5" l="1"/>
  <c r="AQ95" i="5" l="1"/>
  <c r="Y46" i="5" l="1"/>
  <c r="AB46" i="5"/>
  <c r="AE46" i="5"/>
  <c r="AH46" i="5"/>
  <c r="AK46" i="5"/>
  <c r="AN46" i="5"/>
  <c r="AQ46" i="5"/>
  <c r="V46" i="5"/>
  <c r="Y70" i="5" l="1"/>
  <c r="AB70" i="5"/>
  <c r="AK70" i="5"/>
  <c r="AN70" i="5"/>
  <c r="AQ70" i="5"/>
  <c r="V70" i="5" l="1"/>
  <c r="Y36" i="5" l="1"/>
  <c r="AB36" i="5"/>
  <c r="AE36" i="5"/>
  <c r="AH36" i="5"/>
  <c r="AK36" i="5"/>
  <c r="V36" i="5"/>
  <c r="V87" i="5" s="1"/>
  <c r="AJ95" i="5" l="1"/>
  <c r="AC95" i="5"/>
  <c r="V95" i="5"/>
  <c r="P95" i="5"/>
  <c r="I95" i="5"/>
  <c r="D95" i="5"/>
</calcChain>
</file>

<file path=xl/sharedStrings.xml><?xml version="1.0" encoding="utf-8"?>
<sst xmlns="http://schemas.openxmlformats.org/spreadsheetml/2006/main" count="543" uniqueCount="272">
  <si>
    <t>29.09 - 05.10</t>
  </si>
  <si>
    <t>29.12 - 04.01</t>
  </si>
  <si>
    <t>26.01 - 01.02</t>
  </si>
  <si>
    <t>23.02 - 01.03</t>
  </si>
  <si>
    <t>30.03 - 05.04</t>
  </si>
  <si>
    <t>27.04 - 03.05</t>
  </si>
  <si>
    <t>29.06 - 05.07</t>
  </si>
  <si>
    <t>27.07 - 02.08</t>
  </si>
  <si>
    <t>01 - 07</t>
  </si>
  <si>
    <t>08 - 14</t>
  </si>
  <si>
    <t>15 - 21</t>
  </si>
  <si>
    <t>22 - 28</t>
  </si>
  <si>
    <t>06 - 12</t>
  </si>
  <si>
    <t>13 - 19</t>
  </si>
  <si>
    <t>20 - 26</t>
  </si>
  <si>
    <t>03 - 09</t>
  </si>
  <si>
    <t>10 - 16</t>
  </si>
  <si>
    <t>17 - 23</t>
  </si>
  <si>
    <t>24 - 30</t>
  </si>
  <si>
    <t>05 - 11</t>
  </si>
  <si>
    <t>12 - 18</t>
  </si>
  <si>
    <t>19 -25</t>
  </si>
  <si>
    <t>02 - 08</t>
  </si>
  <si>
    <t>09 - 15</t>
  </si>
  <si>
    <t>16 - 22</t>
  </si>
  <si>
    <t>23 - 29</t>
  </si>
  <si>
    <t>04 - 10</t>
  </si>
  <si>
    <t>11 - 17</t>
  </si>
  <si>
    <t>18 - 24</t>
  </si>
  <si>
    <t>25 - 31</t>
  </si>
  <si>
    <t>I</t>
  </si>
  <si>
    <t>::</t>
  </si>
  <si>
    <t>II</t>
  </si>
  <si>
    <t>Х</t>
  </si>
  <si>
    <t>III</t>
  </si>
  <si>
    <t>IV</t>
  </si>
  <si>
    <t xml:space="preserve"> </t>
  </si>
  <si>
    <t>Fənlərin  adı</t>
  </si>
  <si>
    <t>Mühazirə</t>
  </si>
  <si>
    <t>Cəmi:</t>
  </si>
  <si>
    <t xml:space="preserve">    T Ə D R İ S   P L A N I</t>
  </si>
  <si>
    <t>"TƏSDİQ  EDİRƏM"</t>
  </si>
  <si>
    <t>Təhsil müddəti:  4 il (8 semestr)</t>
  </si>
  <si>
    <t>Təhsil forması:  əyani</t>
  </si>
  <si>
    <t>Sentyabr</t>
  </si>
  <si>
    <t>Oktyabr</t>
  </si>
  <si>
    <t>Noyabr</t>
  </si>
  <si>
    <t>Dekabr</t>
  </si>
  <si>
    <t>Yanvar</t>
  </si>
  <si>
    <t>Fevral</t>
  </si>
  <si>
    <t>Mart</t>
  </si>
  <si>
    <t>Aprel</t>
  </si>
  <si>
    <t>May</t>
  </si>
  <si>
    <t>İyun</t>
  </si>
  <si>
    <t>İyul</t>
  </si>
  <si>
    <t>Avqust</t>
  </si>
  <si>
    <t xml:space="preserve">II.  T Ə D R İ S    P R O S E S İ N İ N   P L A N I </t>
  </si>
  <si>
    <t>Sira №-si</t>
  </si>
  <si>
    <t>Fənnin  şifri</t>
  </si>
  <si>
    <t>Kreditin  sayı</t>
  </si>
  <si>
    <t>Ümumi  saatlar</t>
  </si>
  <si>
    <t>Auditoriyadan  kənar  saatlar</t>
  </si>
  <si>
    <t>Auditoriya  saatları</t>
  </si>
  <si>
    <t>O cümlədən</t>
  </si>
  <si>
    <t>Prerekvizit (öncə tədrisi zəruri olan) fənlərin şifri</t>
  </si>
  <si>
    <t>Korekvizit (tədrisi paralel nəzərdə tutulan) fənlərin şifri</t>
  </si>
  <si>
    <t>Həftəlik  dərs  yükü</t>
  </si>
  <si>
    <t>Tədris ili</t>
  </si>
  <si>
    <t>Nəzəri  təlim</t>
  </si>
  <si>
    <t>İmtahan sessiyası</t>
  </si>
  <si>
    <t>Tətil</t>
  </si>
  <si>
    <t>Mülki  müdafiə</t>
  </si>
  <si>
    <t>Tədris və tərbiyə işləri üzrə prorektor</t>
  </si>
  <si>
    <t>VI</t>
  </si>
  <si>
    <t>V</t>
  </si>
  <si>
    <t>VII</t>
  </si>
  <si>
    <t>uyğun hazırlanıb</t>
  </si>
  <si>
    <t>Fizika</t>
  </si>
  <si>
    <t>Kimya</t>
  </si>
  <si>
    <t>Dəniz hüququ</t>
  </si>
  <si>
    <t>Fənnin tədrisi nəzərdə tutulan semestr (payız və  ya yaz)</t>
  </si>
  <si>
    <t>"A Z Ə R B A Y C A N   X Ə Z Ə R   D Ə N İ Z    G Ə M İ Ç İ L İ Y İ"   QSC</t>
  </si>
  <si>
    <t>Tədris  təcrübəsi (üzmə)</t>
  </si>
  <si>
    <t>İstehsalat  təcrübəsi  (üzmə)</t>
  </si>
  <si>
    <t>27.10 - 02.11</t>
  </si>
  <si>
    <t>Nəzəri dərslər</t>
  </si>
  <si>
    <t>İmtahan sesiyası</t>
  </si>
  <si>
    <t xml:space="preserve">Materialşünaslıq və materiallar texnologiyası    </t>
  </si>
  <si>
    <t>Gəmi maşın, mexanizmləri və sistemləri</t>
  </si>
  <si>
    <t xml:space="preserve">                                                                      III.  TƏLİMƏ  AYRILAN  MÜDDƏT     (həftələrlə)               </t>
  </si>
  <si>
    <t>Tədis qeydiyyat şöbəsinin  müdiri</t>
  </si>
  <si>
    <t>"Dəniz naviqasiyası" kafedrasının müdiri</t>
  </si>
  <si>
    <t>Azərbaycan dilində işgüzar və akademik kommunikasiya</t>
  </si>
  <si>
    <t xml:space="preserve">Dəniz yolları coğrafiyası </t>
  </si>
  <si>
    <t>Tədris planı bakalavr hazırlığının məzmununa və səviyyəsinə qoyulan minimum dövlət tələblərinin 050605-Dəniz naviqasiyası mühəndisliyi ixtisası (proqramı) üzrə ali təhsilin dövlət standartına</t>
  </si>
  <si>
    <t>"Gəmi sürücülüyü" fakültəsinin dekanı</t>
  </si>
  <si>
    <t>Kurs işi / layihəsi</t>
  </si>
  <si>
    <t>Tərsimi həndəsə və mühəndis (komputer) qrafikası</t>
  </si>
  <si>
    <t xml:space="preserve">Gəmi quruluşu və nəzəriyyəsi </t>
  </si>
  <si>
    <t>Yük daşıma texnologiyası və donanmanın idarə olunması</t>
  </si>
  <si>
    <t xml:space="preserve">Dənizçilik astronomiyası </t>
  </si>
  <si>
    <t xml:space="preserve">Dəniz naviqasiyasının texniki vasitələri </t>
  </si>
  <si>
    <t xml:space="preserve">Növbəçəkmənin əsasları </t>
  </si>
  <si>
    <t>Tədris planı  Akademiyanın Elmi Şurasının  "____"  fevral 2020- ci il tarixli (____ nömrəli  protokol) iclasında müzakirə olunub və təsdiqlənib.</t>
  </si>
  <si>
    <t>Razılaşdırılıb:</t>
  </si>
  <si>
    <t>"Gəmiqayırma və gəmi təmiri" kafedrasının müdiri</t>
  </si>
  <si>
    <t>"İngilis dili" kafedrasının müdiri</t>
  </si>
  <si>
    <t>"Gəmi energetik qurğuları" kafedrasının müdiri</t>
  </si>
  <si>
    <t>"Tətbiqi mexanika" kafedrasının müdiri</t>
  </si>
  <si>
    <t>"Humanitar fənlər" kafedrasının müdiri</t>
  </si>
  <si>
    <t>"Gəmi elektroavomatikası" kafedrasının müdiri</t>
  </si>
  <si>
    <t>Ümumi ingilis dili</t>
  </si>
  <si>
    <t>İngilis dilində nitq vərdişlərinin inkişaf etdirilməsi</t>
  </si>
  <si>
    <t>İngilis dilində sosial ünsiyyət fəaliyyəti</t>
  </si>
  <si>
    <t>İngilis dilində işgüzar və akademik kommunikasiya</t>
  </si>
  <si>
    <t>Peşəkar ingilis dili</t>
  </si>
  <si>
    <t>Kommunikativ ingilis dili</t>
  </si>
  <si>
    <t>Metrologiya, standartlaşdırma və sertifikatlaşdırma</t>
  </si>
  <si>
    <t>prof. Zahid Şərifov</t>
  </si>
  <si>
    <t>dos.Əsədullah Süleymanov</t>
  </si>
  <si>
    <t>dos.Elnur Abbasov</t>
  </si>
  <si>
    <t>dos.Həzi Nəbiyev</t>
  </si>
  <si>
    <t>dos.İsaq Xankişiyev</t>
  </si>
  <si>
    <t>dos.Akif İsmayılov</t>
  </si>
  <si>
    <t>dos.İlqar Abdullayev</t>
  </si>
  <si>
    <t>dos.Elşən Sultanov</t>
  </si>
  <si>
    <t>İşgüzar ingilis dili</t>
  </si>
  <si>
    <t>Dəniz naviqasiyasının hidrometeoroloji təminatı</t>
  </si>
  <si>
    <t>ADDA-nın ixtisas və ümumpeşə kafedraları</t>
  </si>
  <si>
    <t>Gəmilərin toqquşmasının qarşısının alınması</t>
  </si>
  <si>
    <t>İnformatika və komputer proqramları</t>
  </si>
  <si>
    <t>Beynəlxalq Konvensiyalar (ümumi əsasları, STCW A-VI/1, A-VI/6, Chapter IX of the SOLAS-74,  MARPOL 73/78)</t>
  </si>
  <si>
    <t>Seminar, məşğələ</t>
  </si>
  <si>
    <t>Laboratoriya, trenajor</t>
  </si>
  <si>
    <t>Qlobal Dəniz Fəlakət və Əmniyyətli Rabitə Sistemi (Trenajor)</t>
  </si>
  <si>
    <t>Gəminin idarə və manevr edilməsi (Trenajor)</t>
  </si>
  <si>
    <t>Radar, avtomatik radar müşahidə vasitələri, kapitan körpüsü komandası və axtarış xilasetmə (Trenajor)</t>
  </si>
  <si>
    <t>Dəniz naviqasiyası (Trenajor)</t>
  </si>
  <si>
    <t>Gəmi sürücülüyün naviqasiya təminatı (Trenajor)</t>
  </si>
  <si>
    <t>Səfərin naviqasiya planlaşdırılması (Trenajor)</t>
  </si>
  <si>
    <t>Elektron Xəritə Displeyinin və İnformasiya Sistemlərinin İstismar Qaydaları (Trenajor)</t>
  </si>
  <si>
    <t xml:space="preserve">Ümumi fənlər </t>
  </si>
  <si>
    <t>ÜF-B00</t>
  </si>
  <si>
    <t>ÜF-B01</t>
  </si>
  <si>
    <t>ÜF-B02</t>
  </si>
  <si>
    <t>ÜF-B03</t>
  </si>
  <si>
    <t>ÜF-B04</t>
  </si>
  <si>
    <t>ÜF-B05</t>
  </si>
  <si>
    <t>ÜF-B06</t>
  </si>
  <si>
    <t>İxtisas fənləri</t>
  </si>
  <si>
    <t>İF-B00</t>
  </si>
  <si>
    <t>İF-B01</t>
  </si>
  <si>
    <t>İF-B02</t>
  </si>
  <si>
    <t>İF-B03</t>
  </si>
  <si>
    <t>İF-B04</t>
  </si>
  <si>
    <t>İF-B05</t>
  </si>
  <si>
    <t>İF-B06</t>
  </si>
  <si>
    <t>İF-B07</t>
  </si>
  <si>
    <t>İF-B08</t>
  </si>
  <si>
    <t>İF-B09</t>
  </si>
  <si>
    <t>İF-B10</t>
  </si>
  <si>
    <t>İF-B11</t>
  </si>
  <si>
    <t>İF-B12</t>
  </si>
  <si>
    <t>İF-B13</t>
  </si>
  <si>
    <t>İF-B14</t>
  </si>
  <si>
    <t>İF-B15</t>
  </si>
  <si>
    <t>İF-B16</t>
  </si>
  <si>
    <t>İF-B17</t>
  </si>
  <si>
    <t>İF-B18</t>
  </si>
  <si>
    <t>İF-B19</t>
  </si>
  <si>
    <t>İF-B20</t>
  </si>
  <si>
    <t>İF-B21</t>
  </si>
  <si>
    <t>Ali təhsil müəssisəsi tərəfindən müəyyən edilən fənlər</t>
  </si>
  <si>
    <t>ATMF-B00</t>
  </si>
  <si>
    <t>ATMF-B01</t>
  </si>
  <si>
    <t>ATMF-B02</t>
  </si>
  <si>
    <t>ATMF-B03</t>
  </si>
  <si>
    <t>ATMF-B04</t>
  </si>
  <si>
    <t>ATMF-B05</t>
  </si>
  <si>
    <t>ATMF-B06</t>
  </si>
  <si>
    <t>ATMF-B07</t>
  </si>
  <si>
    <t>ATMF-B08</t>
  </si>
  <si>
    <t>ATMF-B09</t>
  </si>
  <si>
    <t>T-B01</t>
  </si>
  <si>
    <t>Azərbaycan tarixi</t>
  </si>
  <si>
    <t>YDA-B01</t>
  </si>
  <si>
    <t>T-B02</t>
  </si>
  <si>
    <t>ÜSF-B01</t>
  </si>
  <si>
    <t>ÜSF-B02</t>
  </si>
  <si>
    <t>T</t>
  </si>
  <si>
    <t>dos. Əsədullah Süleymanov</t>
  </si>
  <si>
    <t>dos. Elnur Abbasov</t>
  </si>
  <si>
    <t>dos. Həzi Nəbiyev</t>
  </si>
  <si>
    <t>İF-B22</t>
  </si>
  <si>
    <t>Xətti cəbr və analitik həndəsə</t>
  </si>
  <si>
    <t>Riyazi analiz</t>
  </si>
  <si>
    <t>İF-B23</t>
  </si>
  <si>
    <t>Tətbiqi riyaziyyat</t>
  </si>
  <si>
    <t xml:space="preserve">                I.  T Ə D R İ S     P R O S E S İ N İ N   Q R A F İ K İ         </t>
  </si>
  <si>
    <t>Diplomqabağı  təcrübə  (üzmə)</t>
  </si>
  <si>
    <t>T-B03</t>
  </si>
  <si>
    <t>T-B04</t>
  </si>
  <si>
    <t>VIII</t>
  </si>
  <si>
    <t>Tədris təcrübəsi (Üzmə)</t>
  </si>
  <si>
    <t>İstehsalat təcrübəsi (Üzmə)</t>
  </si>
  <si>
    <t>D</t>
  </si>
  <si>
    <t>Diplomqabağı təcrübə (Üzmə)</t>
  </si>
  <si>
    <t>N</t>
  </si>
  <si>
    <t>NT</t>
  </si>
  <si>
    <t>Tədris  təcrübəsi* (üzmə)</t>
  </si>
  <si>
    <t>İstehsalat təcrübəsi-1* (üzmə)</t>
  </si>
  <si>
    <t>İstehsalat təcrübəsi-2* (üzmə)</t>
  </si>
  <si>
    <t>Buraxılış işi və ya Təcrübə</t>
  </si>
  <si>
    <t>=</t>
  </si>
  <si>
    <t>"A Z Ə R B A Y C A N   D Ö V L Ə T  D Ə N İ Z   A K A D E M İ Y A S I" PHŞ</t>
  </si>
  <si>
    <t>"RAZILAŞDIRILIB"</t>
  </si>
  <si>
    <t>İstehsalat təcrübəsi-3* (üzmə)</t>
  </si>
  <si>
    <t>T-B05</t>
  </si>
  <si>
    <t>NX</t>
  </si>
  <si>
    <t>Tədris gəmisində təşkil olunan nəzəri dərslər və tədris təcrübəsi</t>
  </si>
  <si>
    <t>Tədris gəmisində təşkil olunan nəzəri dərslər və istehsalat təcrübəsi</t>
  </si>
  <si>
    <t>Gəmi elektronikası və elektrik avadanlığı</t>
  </si>
  <si>
    <t xml:space="preserve">Təcrübə və ya YDA </t>
  </si>
  <si>
    <t xml:space="preserve">Təcrübə və ya Yekun Dövlət Attestasiyası </t>
  </si>
  <si>
    <t>STCW II/1 – Officer in charge of Navigational watch, Leadership, management &amp; decision making +15</t>
  </si>
  <si>
    <t>STCW II/1 – Officer in charge of Navigational watch, Bridge resource management (BRM) +12</t>
  </si>
  <si>
    <t>STCW II/1 – Officer in charge of Navigational watch, Compass &amp; gyro errors +20</t>
  </si>
  <si>
    <t>STCW II/1 , II/2– Officer in charge of Navigational watch, Bulk/Oil/Gas carrier operations advanced</t>
  </si>
  <si>
    <t>IMDG – dangerous cargo awareness level +11, Bulk &amp; oil tanker basics (ISM &amp; MARPOL link)+ 4, dənizdə kiber təhlükəsizlik, zorakılıq və qısnama hallarının, o cümlədən bullinqin qarşısının
alınması +15</t>
  </si>
  <si>
    <t>15 saat çıxır</t>
  </si>
  <si>
    <t xml:space="preserve">                                                          </t>
  </si>
  <si>
    <t xml:space="preserve">                                                 </t>
  </si>
  <si>
    <t>"Azərbaycan Dövlət Dəniz Akademiyası" PHŞ-nin</t>
  </si>
  <si>
    <t xml:space="preserve"> rektoru vəzifəsi üzrə əmək funksiyalarının icrasını</t>
  </si>
  <si>
    <t xml:space="preserve"> müvəqqəti icra edən, Elmi işlər və beynəlxalq əlaqələr</t>
  </si>
  <si>
    <t xml:space="preserve"> üzrə prorektor________________Eldar Qocayev</t>
  </si>
  <si>
    <t>"_____"____________2026-cı il</t>
  </si>
  <si>
    <t xml:space="preserve">İxtisas:       6006006   "Dəniz  naviqasiyası mühəndisliyi" </t>
  </si>
  <si>
    <t>Azərbaycan Respublikası Nəqliyyat, Rabitə və Yüksək</t>
  </si>
  <si>
    <t xml:space="preserve">  Texnologiyalar Nazirliyi tabeliyində Dövlət Dəniz və</t>
  </si>
  <si>
    <t xml:space="preserve"> Liman Agentliyinin İdarə Heyətinin sədri vəzivəsini</t>
  </si>
  <si>
    <t xml:space="preserve"> müvəqqəti icra edən ________________Eldar Məcidov</t>
  </si>
  <si>
    <t>*6006006 –“Dəniz naviqasiyası mühəndisliyi” ixtisası üzrə bakalavr hazırlığı, Azərbaycan Respublikasının üzvü olduğu Beynəlxalq Dəniz Təşkilatının “Dənizçilərin hazırlanmasına, onlara diplom verilməsinə və növbə çəkməyə dair” 1978-ci il tarixli (əlavələr edilmiş) Beynəlxalq Konvensiyanın (A-II/1, A-II/2 bölmələrinin) tələbləri nəzərə alınmaqla yerinə yetirildiyi üçün təhsil dövrü ərzində 52 həftə təcrübə nəzərdə tutulmuşdur. Azərbaycan Respublikası Nazirlər Kabinetinin 2010-cu il 23 aprel tarixli 75 nömrəli qərarı ilə təsdiq edilmiş “Ali təhsil pilləsinin dövlət standartı və proqramı”na əsasən təcrübəyə 14 həftə və 21 kredit ayrılmışdır. Bunları nəzərə alaraq, qalan 38 həftə təcrübənin kredit nəzərdə tutulmadan yerinə yetirilməsi məcburidir.</t>
  </si>
  <si>
    <t>Tədrisin təşkili və idarəedilməsi üzrə prorektor</t>
  </si>
  <si>
    <t>dos. İradə Süleymanova</t>
  </si>
  <si>
    <t>Tədis prosesinin təşkili şöbəsinin  müdiri</t>
  </si>
  <si>
    <t>prof.Yusif Həsənov</t>
  </si>
  <si>
    <t>ASCO</t>
  </si>
  <si>
    <t>Asəf Sadıqov</t>
  </si>
  <si>
    <t>CMS şirkəti</t>
  </si>
  <si>
    <t>Səbuhi Tağıyev</t>
  </si>
  <si>
    <t>Unated Alyans Group</t>
  </si>
  <si>
    <t>Nurlan Süleymanov</t>
  </si>
  <si>
    <t>BYU Caspian</t>
  </si>
  <si>
    <t>Vəli</t>
  </si>
  <si>
    <t>Cunda Shiping</t>
  </si>
  <si>
    <t>İlkin Ələsgərov</t>
  </si>
  <si>
    <t>Dövlət Dəniz və Liman Agentliyi</t>
  </si>
  <si>
    <t>Gəmiçilik şirkətləri</t>
  </si>
  <si>
    <t>Sədrin müşaviri</t>
  </si>
  <si>
    <t>Gəmi heyəti departamentinin müdiri</t>
  </si>
  <si>
    <t>Habil Abbasov</t>
  </si>
  <si>
    <t>Səid Orucov</t>
  </si>
  <si>
    <t>Gəmi heyəti departamentinin mütəxəssisi</t>
  </si>
  <si>
    <t>Əhməd Lametov</t>
  </si>
  <si>
    <t>prof.Gülçöhrə Alıyeva</t>
  </si>
  <si>
    <t xml:space="preserve"> "_____"____________2026-cı il</t>
  </si>
  <si>
    <r>
      <t xml:space="preserve">Seçmə fənlər I blok: </t>
    </r>
    <r>
      <rPr>
        <i/>
        <sz val="16"/>
        <rFont val="Arial"/>
        <family val="2"/>
        <charset val="204"/>
      </rPr>
      <t>1) Fəlsəfə; 2) Sosiologiya;   3) ARK və hüququn əsasları; 4) Məntiq; 5) Etika və estetika; 6) Multikulturalizmə giriş.</t>
    </r>
  </si>
  <si>
    <r>
      <t xml:space="preserve">Seçmə fənlər II blok: </t>
    </r>
    <r>
      <rPr>
        <i/>
        <sz val="16"/>
        <rFont val="Arial"/>
        <family val="2"/>
        <charset val="204"/>
      </rPr>
      <t>1) İnformasiyanın idarə edilməsi; 2) İnformasiya texnologiyaları (ixtisas üzrə); 3) Sahibkarlığın əsasları və biznesə giriş;                                                          4) Politologiya</t>
    </r>
  </si>
  <si>
    <t>Tədris planı Akademiyanın Elmi Şurasının  "____ " ____________    2026 - cı il tarixli (   nömrəli  protokol) iclasında müzakirə edilmiş və təsdiq olunmuşdur.</t>
  </si>
  <si>
    <t>Tədris planı Azərbaycan Respublikası Elm və Təhsil Nazirliyinin 13 avqust 2020-ci il tarixli F-370 nömrəli əmri ilə təsdiq edilmiş bakalavriat səviyyəsinin 6006006  – “Dəniz naviqasiyası mühəndisliyi” ixtisası üzrə Təhsil Proqramının tələblərinə uyğun olaraq hazırlanmışdır.</t>
  </si>
  <si>
    <t xml:space="preserve">        (bakalavriat səviyyəsi  üçün)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</si>
</sst>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Cyr"/>
      <charset val="204"/>
    </font>
    <font>
      <sz val="8"/>
      <name val="Arial Cyr"/>
      <charset val="204"/>
    </font>
    <font>
      <b/>
      <sz val="16"/>
      <name val="Arial"/>
      <family val="2"/>
      <charset val="204"/>
    </font>
    <font>
      <sz val="16"/>
      <name val="Arial"/>
      <family val="2"/>
      <charset val="204"/>
    </font>
    <font>
      <b/>
      <sz val="18"/>
      <name val="Arial"/>
      <family val="2"/>
      <charset val="204"/>
    </font>
    <font>
      <sz val="10"/>
      <name val="Arial"/>
      <family val="2"/>
      <charset val="204"/>
    </font>
    <font>
      <sz val="18"/>
      <name val="Arial"/>
      <family val="2"/>
      <charset val="204"/>
    </font>
    <font>
      <sz val="14"/>
      <name val="Arial"/>
      <family val="2"/>
      <charset val="204"/>
    </font>
    <font>
      <b/>
      <sz val="10"/>
      <name val="Arial"/>
      <family val="2"/>
      <charset val="204"/>
    </font>
    <font>
      <b/>
      <i/>
      <sz val="18"/>
      <name val="Arial"/>
      <family val="2"/>
      <charset val="204"/>
    </font>
    <font>
      <sz val="10"/>
      <name val="Times New Roman"/>
      <family val="1"/>
      <charset val="204"/>
    </font>
    <font>
      <b/>
      <sz val="16"/>
      <name val="Times New Roman"/>
      <family val="1"/>
      <charset val="204"/>
    </font>
    <font>
      <sz val="18"/>
      <name val="Times New Roman"/>
      <family val="1"/>
      <charset val="204"/>
    </font>
    <font>
      <b/>
      <sz val="14"/>
      <name val="Times New Roman"/>
      <family val="1"/>
      <charset val="204"/>
    </font>
    <font>
      <sz val="12"/>
      <name val="Times New Roman"/>
      <family val="1"/>
      <charset val="204"/>
    </font>
    <font>
      <b/>
      <sz val="10"/>
      <name val="Times New Roman"/>
      <family val="1"/>
      <charset val="204"/>
    </font>
    <font>
      <sz val="12"/>
      <name val="Arial"/>
      <family val="2"/>
      <charset val="204"/>
    </font>
    <font>
      <b/>
      <sz val="20"/>
      <name val="Arial"/>
      <family val="2"/>
      <charset val="204"/>
    </font>
    <font>
      <b/>
      <i/>
      <sz val="16"/>
      <name val="Arial"/>
      <family val="2"/>
      <charset val="204"/>
    </font>
    <font>
      <b/>
      <sz val="14"/>
      <name val="Arial"/>
      <family val="2"/>
      <charset val="204"/>
    </font>
    <font>
      <i/>
      <sz val="12"/>
      <name val="Arial"/>
      <family val="2"/>
      <charset val="204"/>
    </font>
    <font>
      <i/>
      <sz val="16"/>
      <name val="Arial"/>
      <family val="2"/>
      <charset val="204"/>
    </font>
  </fonts>
  <fills count="8">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2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191">
    <xf numFmtId="0" fontId="0" fillId="0" borderId="0" xfId="0"/>
    <xf numFmtId="0" fontId="5" fillId="0" borderId="0" xfId="0" applyFont="1"/>
    <xf numFmtId="0" fontId="6" fillId="0" borderId="0" xfId="0" applyFont="1"/>
    <xf numFmtId="0" fontId="7" fillId="0" borderId="0" xfId="0" applyFont="1"/>
    <xf numFmtId="0" fontId="3" fillId="0" borderId="0" xfId="0" applyFont="1"/>
    <xf numFmtId="0" fontId="2" fillId="0" borderId="0" xfId="0" applyFont="1"/>
    <xf numFmtId="0" fontId="4" fillId="0" borderId="0" xfId="0" applyFont="1"/>
    <xf numFmtId="0" fontId="3" fillId="0" borderId="0" xfId="0" applyFont="1" applyAlignment="1">
      <alignment vertical="center"/>
    </xf>
    <xf numFmtId="0" fontId="9"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vertical="center"/>
    </xf>
    <xf numFmtId="0" fontId="8" fillId="0" borderId="0" xfId="0" applyFont="1"/>
    <xf numFmtId="0" fontId="2" fillId="0" borderId="0" xfId="0" applyFont="1" applyAlignment="1">
      <alignment horizontal="center"/>
    </xf>
    <xf numFmtId="0" fontId="10" fillId="0" borderId="0" xfId="0" applyFont="1"/>
    <xf numFmtId="0" fontId="11" fillId="0" borderId="0" xfId="0" applyFont="1"/>
    <xf numFmtId="0" fontId="10" fillId="0" borderId="0" xfId="0" applyFont="1" applyAlignment="1">
      <alignment horizontal="center" vertical="center"/>
    </xf>
    <xf numFmtId="0" fontId="13" fillId="0" borderId="0" xfId="0" applyFont="1"/>
    <xf numFmtId="0" fontId="10" fillId="2" borderId="0" xfId="0" applyFont="1" applyFill="1"/>
    <xf numFmtId="0" fontId="10" fillId="0" borderId="0" xfId="0" applyFont="1" applyAlignment="1">
      <alignment wrapText="1"/>
    </xf>
    <xf numFmtId="0" fontId="12" fillId="2" borderId="0" xfId="0" applyFont="1" applyFill="1"/>
    <xf numFmtId="0" fontId="10" fillId="0" borderId="3" xfId="0" applyFont="1" applyBorder="1"/>
    <xf numFmtId="0" fontId="15" fillId="0" borderId="0" xfId="0" applyFont="1"/>
    <xf numFmtId="0" fontId="14" fillId="2" borderId="0" xfId="0" applyFont="1" applyFill="1"/>
    <xf numFmtId="0" fontId="16" fillId="0" borderId="0" xfId="0" applyFont="1" applyAlignment="1">
      <alignment horizontal="center" vertical="center"/>
    </xf>
    <xf numFmtId="0" fontId="16" fillId="0" borderId="0" xfId="0" applyFont="1"/>
    <xf numFmtId="0" fontId="16" fillId="0" borderId="0" xfId="0" applyFont="1" applyAlignment="1">
      <alignment horizontal="center"/>
    </xf>
    <xf numFmtId="0" fontId="4" fillId="0" borderId="0" xfId="0" applyFont="1" applyAlignment="1">
      <alignment horizontal="left" vertical="center"/>
    </xf>
    <xf numFmtId="0" fontId="20" fillId="0" borderId="0" xfId="0" applyFont="1" applyAlignment="1">
      <alignment horizontal="center"/>
    </xf>
    <xf numFmtId="0" fontId="7" fillId="0" borderId="0" xfId="0" applyFont="1" applyAlignment="1">
      <alignment horizontal="center" vertical="center" textRotation="90" wrapText="1"/>
    </xf>
    <xf numFmtId="0" fontId="16" fillId="0" borderId="0" xfId="0" applyFont="1" applyAlignment="1">
      <alignment horizontal="center" vertical="center" textRotation="90" wrapText="1"/>
    </xf>
    <xf numFmtId="49" fontId="7" fillId="0" borderId="3" xfId="0" applyNumberFormat="1" applyFont="1" applyBorder="1" applyAlignment="1">
      <alignment horizontal="center" vertical="center" textRotation="90"/>
    </xf>
    <xf numFmtId="49" fontId="7" fillId="0" borderId="3" xfId="0" applyNumberFormat="1" applyFont="1" applyBorder="1" applyAlignment="1">
      <alignment horizontal="center" vertical="center" textRotation="90" wrapText="1"/>
    </xf>
    <xf numFmtId="0" fontId="7" fillId="0" borderId="0" xfId="0" applyFont="1" applyAlignment="1">
      <alignment horizontal="center" vertical="center"/>
    </xf>
    <xf numFmtId="0" fontId="19" fillId="0" borderId="3" xfId="0" applyFont="1" applyBorder="1" applyAlignment="1">
      <alignment horizontal="center" vertical="center"/>
    </xf>
    <xf numFmtId="0" fontId="7" fillId="2" borderId="3" xfId="0" applyFont="1" applyFill="1" applyBorder="1" applyAlignment="1">
      <alignment horizontal="center" vertical="center"/>
    </xf>
    <xf numFmtId="0" fontId="7"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6" borderId="3" xfId="0" applyFont="1" applyFill="1" applyBorder="1" applyAlignment="1">
      <alignment horizontal="center" vertical="center"/>
    </xf>
    <xf numFmtId="0" fontId="7" fillId="0" borderId="3" xfId="0" applyFont="1" applyBorder="1" applyAlignment="1">
      <alignment horizontal="center" vertical="center"/>
    </xf>
    <xf numFmtId="0" fontId="19" fillId="3" borderId="1" xfId="0" applyFont="1" applyFill="1" applyBorder="1" applyAlignment="1">
      <alignment horizontal="center" vertical="center"/>
    </xf>
    <xf numFmtId="0" fontId="19" fillId="4" borderId="1" xfId="0" applyFont="1" applyFill="1" applyBorder="1" applyAlignment="1">
      <alignment horizontal="center" vertical="center"/>
    </xf>
    <xf numFmtId="0" fontId="19" fillId="6" borderId="1" xfId="0" applyFont="1" applyFill="1" applyBorder="1" applyAlignment="1">
      <alignment horizontal="center" vertical="center"/>
    </xf>
    <xf numFmtId="0" fontId="7" fillId="0" borderId="6" xfId="0" applyFont="1" applyBorder="1" applyAlignment="1">
      <alignment horizontal="left" vertical="center"/>
    </xf>
    <xf numFmtId="0" fontId="7" fillId="0" borderId="9" xfId="0" applyFont="1" applyBorder="1" applyAlignment="1">
      <alignment horizontal="center" vertical="center"/>
    </xf>
    <xf numFmtId="0" fontId="7" fillId="0" borderId="0" xfId="0" applyFont="1" applyAlignment="1">
      <alignment horizontal="left" vertical="center"/>
    </xf>
    <xf numFmtId="2" fontId="19" fillId="6" borderId="1" xfId="0"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0" fontId="19" fillId="0" borderId="1" xfId="0" applyFont="1" applyBorder="1" applyAlignment="1">
      <alignment horizontal="center" vertical="center"/>
    </xf>
    <xf numFmtId="0" fontId="7" fillId="0" borderId="0" xfId="0" applyFont="1" applyAlignment="1">
      <alignment horizontal="center"/>
    </xf>
    <xf numFmtId="2" fontId="19" fillId="0" borderId="0" xfId="0" applyNumberFormat="1" applyFont="1" applyAlignment="1">
      <alignment horizontal="center"/>
    </xf>
    <xf numFmtId="0" fontId="19" fillId="0" borderId="0" xfId="0" applyFont="1" applyAlignment="1">
      <alignment horizontal="center" vertical="center"/>
    </xf>
    <xf numFmtId="0" fontId="18" fillId="0" borderId="0" xfId="0" applyFont="1" applyAlignment="1">
      <alignment horizontal="center"/>
    </xf>
    <xf numFmtId="0" fontId="2" fillId="0" borderId="1" xfId="0" applyFont="1" applyBorder="1" applyAlignment="1">
      <alignment horizontal="center"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2" borderId="3" xfId="0" applyFont="1" applyFill="1" applyBorder="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
    </xf>
    <xf numFmtId="0" fontId="16" fillId="2" borderId="0" xfId="0" applyFont="1" applyFill="1"/>
    <xf numFmtId="0" fontId="3" fillId="2" borderId="5" xfId="0" applyFont="1" applyFill="1" applyBorder="1" applyAlignment="1">
      <alignment horizontal="center" vertical="center"/>
    </xf>
    <xf numFmtId="0" fontId="3" fillId="0" borderId="1" xfId="0" applyFont="1" applyBorder="1" applyAlignment="1">
      <alignment horizontal="center" vertical="center"/>
    </xf>
    <xf numFmtId="0" fontId="3" fillId="2" borderId="2" xfId="0" applyFont="1" applyFill="1" applyBorder="1" applyAlignment="1">
      <alignment horizontal="center" vertical="center"/>
    </xf>
    <xf numFmtId="0" fontId="16" fillId="2" borderId="0" xfId="0" applyFont="1" applyFill="1" applyAlignment="1">
      <alignment horizontal="left" vertical="center"/>
    </xf>
    <xf numFmtId="0" fontId="5" fillId="2" borderId="0" xfId="0" applyFont="1" applyFill="1"/>
    <xf numFmtId="0" fontId="16" fillId="2" borderId="0" xfId="0" applyFont="1" applyFill="1" applyAlignment="1">
      <alignment horizontal="left"/>
    </xf>
    <xf numFmtId="0" fontId="16" fillId="7" borderId="0" xfId="0" applyFont="1" applyFill="1" applyAlignment="1">
      <alignment horizontal="center" vertical="center"/>
    </xf>
    <xf numFmtId="0" fontId="16" fillId="0" borderId="0" xfId="0" applyFont="1" applyAlignment="1">
      <alignment horizontal="center" wrapText="1"/>
    </xf>
    <xf numFmtId="0" fontId="16" fillId="2" borderId="0" xfId="0" applyFont="1" applyFill="1" applyAlignment="1">
      <alignment wrapText="1"/>
    </xf>
    <xf numFmtId="0" fontId="18" fillId="0" borderId="1" xfId="0" applyFont="1" applyBorder="1" applyAlignment="1">
      <alignment horizontal="center" vertical="center"/>
    </xf>
    <xf numFmtId="0" fontId="20" fillId="0" borderId="0" xfId="0" applyFont="1" applyAlignment="1">
      <alignment horizontal="center" vertical="center"/>
    </xf>
    <xf numFmtId="0" fontId="16" fillId="0" borderId="0" xfId="0" applyFont="1" applyAlignment="1">
      <alignment vertical="center"/>
    </xf>
    <xf numFmtId="0" fontId="19" fillId="0" borderId="0" xfId="0" applyFont="1"/>
    <xf numFmtId="0" fontId="2" fillId="0" borderId="0" xfId="0" applyFont="1" applyAlignment="1">
      <alignment vertical="center"/>
    </xf>
    <xf numFmtId="0" fontId="18" fillId="0" borderId="0" xfId="0" applyFont="1" applyAlignment="1">
      <alignment horizontal="center" vertical="center"/>
    </xf>
    <xf numFmtId="0" fontId="20" fillId="0" borderId="0" xfId="0" applyFont="1" applyAlignment="1">
      <alignment horizontal="lef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4" xfId="0" applyFont="1" applyBorder="1" applyAlignment="1">
      <alignment horizontal="center" vertical="center"/>
    </xf>
    <xf numFmtId="0" fontId="2" fillId="0" borderId="0" xfId="0" applyFont="1" applyAlignment="1">
      <alignment horizontal="center" vertical="center"/>
    </xf>
    <xf numFmtId="0" fontId="2" fillId="0" borderId="24" xfId="0" applyFont="1" applyBorder="1" applyAlignment="1">
      <alignment horizontal="center" vertical="center" textRotation="90" wrapText="1"/>
    </xf>
    <xf numFmtId="0" fontId="2" fillId="0" borderId="14" xfId="0" applyFont="1" applyBorder="1" applyAlignment="1">
      <alignment horizontal="center" vertical="center" textRotation="90" wrapText="1"/>
    </xf>
    <xf numFmtId="0" fontId="2" fillId="0" borderId="15" xfId="0" applyFont="1" applyBorder="1" applyAlignment="1">
      <alignment horizontal="center" vertical="center" textRotation="90" wrapText="1"/>
    </xf>
    <xf numFmtId="0" fontId="2" fillId="0" borderId="25" xfId="0" applyFont="1" applyBorder="1" applyAlignment="1">
      <alignment horizontal="center" vertical="center" textRotation="90" wrapText="1"/>
    </xf>
    <xf numFmtId="0" fontId="2" fillId="0" borderId="17" xfId="0" applyFont="1" applyBorder="1" applyAlignment="1">
      <alignment horizontal="center" vertical="center" textRotation="90" wrapText="1"/>
    </xf>
    <xf numFmtId="0" fontId="2" fillId="0" borderId="18" xfId="0" applyFont="1" applyBorder="1" applyAlignment="1">
      <alignment horizontal="center" vertical="center" textRotation="90" wrapText="1"/>
    </xf>
    <xf numFmtId="0" fontId="2" fillId="0" borderId="13" xfId="0" applyFont="1" applyBorder="1" applyAlignment="1">
      <alignment horizontal="center" vertical="center" textRotation="90" wrapText="1"/>
    </xf>
    <xf numFmtId="0" fontId="2" fillId="0" borderId="16" xfId="0" applyFont="1" applyBorder="1" applyAlignment="1">
      <alignment horizontal="center" vertical="center" textRotation="90" wrapText="1"/>
    </xf>
    <xf numFmtId="0" fontId="2" fillId="0" borderId="26" xfId="0" applyFont="1" applyBorder="1" applyAlignment="1">
      <alignment horizontal="center" vertical="center" textRotation="90" wrapText="1"/>
    </xf>
    <xf numFmtId="0" fontId="2" fillId="0" borderId="27" xfId="0" applyFont="1" applyBorder="1" applyAlignment="1">
      <alignment horizontal="center" vertical="center" textRotation="90"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3" fillId="0" borderId="2" xfId="0" applyFont="1" applyBorder="1" applyAlignment="1">
      <alignment horizontal="center" vertical="center"/>
    </xf>
    <xf numFmtId="0" fontId="18" fillId="0" borderId="20"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top"/>
    </xf>
    <xf numFmtId="0" fontId="18" fillId="0" borderId="3" xfId="0" applyFont="1" applyBorder="1" applyAlignment="1">
      <alignment horizontal="center" vertical="center"/>
    </xf>
    <xf numFmtId="0" fontId="3" fillId="0" borderId="3" xfId="0" applyFont="1" applyBorder="1" applyAlignment="1">
      <alignment horizontal="left" vertical="top" wrapText="1"/>
    </xf>
    <xf numFmtId="0" fontId="21" fillId="0" borderId="0" xfId="0" applyFont="1" applyAlignment="1">
      <alignment horizontal="left" vertical="center" wrapText="1"/>
    </xf>
    <xf numFmtId="0" fontId="3" fillId="0" borderId="2" xfId="0" applyFont="1" applyBorder="1" applyAlignment="1">
      <alignment horizontal="left" vertical="top"/>
    </xf>
    <xf numFmtId="0" fontId="2" fillId="0" borderId="2" xfId="0" applyFont="1" applyBorder="1" applyAlignment="1">
      <alignment horizontal="center" vertical="center"/>
    </xf>
    <xf numFmtId="0" fontId="18" fillId="0" borderId="2" xfId="0" applyFont="1" applyBorder="1" applyAlignment="1">
      <alignment horizontal="center" vertic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applyAlignment="1">
      <alignment horizontal="center" vertical="center"/>
    </xf>
    <xf numFmtId="0" fontId="3" fillId="0" borderId="0" xfId="0" applyFont="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18" fillId="0" borderId="0" xfId="0" applyFont="1" applyAlignment="1">
      <alignment horizontal="left"/>
    </xf>
    <xf numFmtId="0" fontId="2" fillId="0" borderId="10" xfId="0" applyFont="1" applyBorder="1" applyAlignment="1">
      <alignment horizontal="center" vertical="center"/>
    </xf>
    <xf numFmtId="0" fontId="2" fillId="0" borderId="3" xfId="0" applyFont="1" applyBorder="1" applyAlignment="1">
      <alignment horizontal="left" vertical="center"/>
    </xf>
    <xf numFmtId="0" fontId="18" fillId="0" borderId="11" xfId="0" applyFont="1" applyBorder="1" applyAlignment="1">
      <alignment horizontal="center" vertical="center"/>
    </xf>
    <xf numFmtId="0" fontId="3" fillId="0" borderId="3" xfId="0" applyFont="1" applyBorder="1" applyAlignment="1">
      <alignment horizontal="center" vertical="center" wrapText="1"/>
    </xf>
    <xf numFmtId="0" fontId="18" fillId="2" borderId="3" xfId="0" applyFont="1" applyFill="1" applyBorder="1" applyAlignment="1">
      <alignment horizontal="center" vertical="center"/>
    </xf>
    <xf numFmtId="0" fontId="3" fillId="2" borderId="3" xfId="0" applyFont="1" applyFill="1" applyBorder="1" applyAlignment="1">
      <alignment horizontal="center" vertical="center"/>
    </xf>
    <xf numFmtId="0" fontId="18" fillId="2"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3" xfId="0" applyFont="1" applyBorder="1" applyAlignment="1">
      <alignment horizontal="justify" vertical="top"/>
    </xf>
    <xf numFmtId="0" fontId="3" fillId="2" borderId="5" xfId="0" applyFont="1" applyFill="1" applyBorder="1" applyAlignment="1">
      <alignment horizontal="left" vertical="top" wrapText="1"/>
    </xf>
    <xf numFmtId="0" fontId="18" fillId="0" borderId="3" xfId="0" applyFont="1" applyBorder="1" applyAlignment="1">
      <alignment horizontal="left" vertical="center" wrapText="1"/>
    </xf>
    <xf numFmtId="0" fontId="2" fillId="0" borderId="11" xfId="0" applyFont="1" applyBorder="1" applyAlignment="1">
      <alignment horizontal="center" vertical="center" wrapText="1"/>
    </xf>
    <xf numFmtId="0" fontId="3" fillId="2" borderId="2" xfId="0" applyFont="1" applyFill="1" applyBorder="1" applyAlignment="1">
      <alignment horizontal="center" vertical="center"/>
    </xf>
    <xf numFmtId="0" fontId="18" fillId="0" borderId="3" xfId="0" applyFont="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8" fillId="0" borderId="11" xfId="0" applyFont="1" applyBorder="1" applyAlignment="1">
      <alignment horizontal="left" vertical="top" wrapText="1"/>
    </xf>
    <xf numFmtId="0" fontId="3" fillId="0" borderId="3" xfId="0" applyFont="1" applyBorder="1"/>
    <xf numFmtId="0" fontId="2" fillId="0" borderId="22" xfId="0" applyFont="1" applyBorder="1" applyAlignment="1">
      <alignment horizontal="center" vertical="center" textRotation="90"/>
    </xf>
    <xf numFmtId="0" fontId="2" fillId="0" borderId="23" xfId="0" applyFont="1" applyBorder="1" applyAlignment="1">
      <alignment horizontal="center" vertical="center" textRotation="90"/>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18" fillId="0" borderId="0" xfId="0" applyFont="1" applyAlignment="1">
      <alignment horizontal="center"/>
    </xf>
    <xf numFmtId="0" fontId="3" fillId="2" borderId="3" xfId="0" applyFont="1" applyFill="1" applyBorder="1" applyAlignment="1">
      <alignment horizontal="justify" vertical="top"/>
    </xf>
    <xf numFmtId="0" fontId="2" fillId="0" borderId="20" xfId="0" applyFont="1" applyBorder="1" applyAlignment="1">
      <alignment horizontal="center" vertical="center"/>
    </xf>
    <xf numFmtId="0" fontId="7" fillId="0" borderId="0" xfId="0" applyFont="1" applyAlignment="1">
      <alignment horizontal="center" vertical="center"/>
    </xf>
    <xf numFmtId="0" fontId="2" fillId="0" borderId="14" xfId="0" applyFont="1" applyBorder="1" applyAlignment="1">
      <alignment horizontal="center" vertical="center"/>
    </xf>
    <xf numFmtId="0" fontId="2" fillId="0" borderId="26" xfId="0" applyFont="1" applyBorder="1" applyAlignment="1">
      <alignment horizontal="center" vertical="center"/>
    </xf>
    <xf numFmtId="0" fontId="4" fillId="0" borderId="0" xfId="0" applyFont="1" applyAlignment="1">
      <alignment horizontal="center"/>
    </xf>
    <xf numFmtId="0" fontId="17" fillId="0" borderId="0" xfId="0" applyFont="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textRotation="90" wrapText="1"/>
    </xf>
    <xf numFmtId="0" fontId="7" fillId="0" borderId="2" xfId="0" applyFont="1" applyBorder="1" applyAlignment="1">
      <alignment horizontal="center" vertical="center" textRotation="90" wrapText="1"/>
    </xf>
    <xf numFmtId="0" fontId="5" fillId="0" borderId="2" xfId="0" applyFont="1" applyBorder="1" applyAlignment="1">
      <alignment horizontal="center" vertical="center" textRotation="90" wrapText="1"/>
    </xf>
    <xf numFmtId="0" fontId="19" fillId="0" borderId="0" xfId="0" applyFont="1" applyAlignment="1">
      <alignment horizontal="center"/>
    </xf>
    <xf numFmtId="0" fontId="7" fillId="0" borderId="0" xfId="0" applyFont="1" applyAlignment="1">
      <alignment horizontal="center"/>
    </xf>
    <xf numFmtId="0" fontId="7" fillId="0" borderId="5" xfId="0" applyFont="1" applyBorder="1" applyAlignment="1">
      <alignment horizontal="center" vertical="center" textRotation="90"/>
    </xf>
    <xf numFmtId="0" fontId="7" fillId="0" borderId="2" xfId="0" applyFont="1" applyBorder="1" applyAlignment="1">
      <alignment horizontal="center" vertical="center" textRotation="90"/>
    </xf>
    <xf numFmtId="0" fontId="3" fillId="0" borderId="0" xfId="0" applyFont="1"/>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2" fillId="0" borderId="16" xfId="0" applyFont="1" applyBorder="1" applyAlignment="1">
      <alignment horizontal="center" vertical="center" textRotation="90"/>
    </xf>
    <xf numFmtId="0" fontId="2" fillId="0" borderId="17" xfId="0" applyFont="1" applyBorder="1" applyAlignment="1">
      <alignment horizontal="center" vertical="center" textRotation="90"/>
    </xf>
    <xf numFmtId="0" fontId="2" fillId="0" borderId="18" xfId="0" applyFont="1" applyBorder="1" applyAlignment="1">
      <alignment horizontal="center" vertical="center" textRotation="90"/>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17" xfId="0" applyFont="1" applyBorder="1" applyAlignment="1">
      <alignment horizontal="center" vertical="center"/>
    </xf>
    <xf numFmtId="0" fontId="2" fillId="0" borderId="27" xfId="0" applyFont="1" applyBorder="1" applyAlignment="1">
      <alignment horizontal="center" vertical="center"/>
    </xf>
    <xf numFmtId="0" fontId="3" fillId="2" borderId="3" xfId="0" applyFont="1" applyFill="1" applyBorder="1" applyAlignment="1">
      <alignment horizontal="left" vertical="top"/>
    </xf>
    <xf numFmtId="0" fontId="3" fillId="2" borderId="2" xfId="0" applyFont="1" applyFill="1" applyBorder="1" applyAlignment="1">
      <alignment horizontal="left" vertical="top"/>
    </xf>
    <xf numFmtId="14" fontId="18"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2" fillId="2" borderId="2" xfId="0" applyFont="1" applyFill="1" applyBorder="1" applyAlignment="1">
      <alignment horizontal="center" vertical="center"/>
    </xf>
    <xf numFmtId="0" fontId="18" fillId="2" borderId="2" xfId="0" applyFont="1" applyFill="1" applyBorder="1" applyAlignment="1">
      <alignment horizontal="center" vertical="center"/>
    </xf>
    <xf numFmtId="0" fontId="3" fillId="0" borderId="2"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4" xfId="0" applyFont="1" applyBorder="1" applyAlignment="1">
      <alignment horizontal="left" vertical="top"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justify" vertical="top"/>
    </xf>
    <xf numFmtId="0" fontId="3" fillId="0" borderId="8" xfId="0" applyFont="1" applyBorder="1" applyAlignment="1">
      <alignment horizontal="justify" vertical="top"/>
    </xf>
    <xf numFmtId="0" fontId="3" fillId="0" borderId="4" xfId="0" applyFont="1" applyBorder="1" applyAlignment="1">
      <alignment horizontal="justify" vertical="top"/>
    </xf>
    <xf numFmtId="0" fontId="4" fillId="0" borderId="0" xfId="0" applyFont="1" applyAlignment="1">
      <alignment horizont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128"/>
  <sheetViews>
    <sheetView tabSelected="1" zoomScale="70" zoomScaleNormal="70" zoomScaleSheetLayoutView="70" workbookViewId="0">
      <selection activeCell="A99" sqref="A99:BH99"/>
    </sheetView>
  </sheetViews>
  <sheetFormatPr defaultColWidth="9.109375" defaultRowHeight="15" x14ac:dyDescent="0.25"/>
  <cols>
    <col min="1" max="1" width="5.44140625" style="1" customWidth="1"/>
    <col min="2" max="14" width="4.33203125" style="1" customWidth="1"/>
    <col min="15" max="15" width="4.88671875" style="1" customWidth="1"/>
    <col min="16" max="20" width="4.33203125" style="1" customWidth="1"/>
    <col min="21" max="21" width="5" style="1" customWidth="1"/>
    <col min="22" max="53" width="4.33203125" style="1" customWidth="1"/>
    <col min="54" max="55" width="3.6640625" style="1" customWidth="1"/>
    <col min="56" max="56" width="4" style="1" customWidth="1"/>
    <col min="57" max="57" width="1.5546875" style="1" customWidth="1"/>
    <col min="58" max="58" width="5.109375" style="1" customWidth="1"/>
    <col min="59" max="59" width="1.88671875" style="1" customWidth="1"/>
    <col min="60" max="60" width="5.5546875" style="1" customWidth="1"/>
    <col min="61" max="61" width="8.33203125" style="24" customWidth="1"/>
    <col min="62" max="62" width="9.109375" style="25"/>
    <col min="63" max="63" width="9.109375" style="24"/>
    <col min="64" max="16384" width="9.109375" style="13"/>
  </cols>
  <sheetData>
    <row r="1" spans="1:63" ht="25.5" customHeight="1" x14ac:dyDescent="0.4">
      <c r="A1" s="151" t="s">
        <v>81</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25"/>
    </row>
    <row r="2" spans="1:63" ht="15" customHeight="1" x14ac:dyDescent="0.4">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spans="1:63" ht="20.25" customHeight="1" x14ac:dyDescent="0.4">
      <c r="A3" s="151" t="s">
        <v>214</v>
      </c>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25"/>
    </row>
    <row r="4" spans="1:63" ht="14.25" customHeight="1" x14ac:dyDescent="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spans="1:63" ht="24.9" customHeight="1" x14ac:dyDescent="0.25">
      <c r="A5" s="152" t="s">
        <v>40</v>
      </c>
      <c r="B5" s="152"/>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23"/>
    </row>
    <row r="6" spans="1:63" s="14" customFormat="1" ht="21" x14ac:dyDescent="0.4">
      <c r="A6" s="5"/>
      <c r="B6" s="5"/>
      <c r="C6" s="5"/>
      <c r="D6" s="5"/>
      <c r="E6" s="5"/>
      <c r="F6" s="5"/>
      <c r="G6" s="5"/>
      <c r="H6" s="5"/>
      <c r="I6" s="5"/>
      <c r="J6" s="5"/>
      <c r="K6" s="5"/>
      <c r="L6" s="5"/>
      <c r="M6" s="5"/>
      <c r="N6" s="5"/>
      <c r="O6" s="5"/>
      <c r="P6" s="5"/>
      <c r="Q6" s="5"/>
      <c r="R6" s="106" t="s">
        <v>271</v>
      </c>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5"/>
      <c r="AR6" s="5"/>
      <c r="AS6" s="5"/>
      <c r="AT6" s="5"/>
      <c r="AU6" s="5"/>
      <c r="AV6" s="5"/>
      <c r="AW6" s="5"/>
      <c r="AX6" s="5"/>
      <c r="AY6" s="5"/>
      <c r="AZ6" s="5"/>
      <c r="BA6" s="5"/>
      <c r="BB6" s="5"/>
      <c r="BC6" s="5"/>
      <c r="BD6" s="5"/>
      <c r="BE6" s="5"/>
      <c r="BF6" s="5"/>
      <c r="BG6" s="5"/>
      <c r="BH6" s="5"/>
      <c r="BI6" s="24"/>
      <c r="BJ6" s="25"/>
      <c r="BK6" s="24"/>
    </row>
    <row r="7" spans="1:63" ht="24.75" customHeight="1" x14ac:dyDescent="0.4">
      <c r="A7" s="106" t="s">
        <v>41</v>
      </c>
      <c r="B7" s="106"/>
      <c r="C7" s="106"/>
      <c r="D7" s="106"/>
      <c r="E7" s="106"/>
      <c r="F7" s="106"/>
      <c r="G7" s="106"/>
      <c r="H7" s="106"/>
      <c r="I7" s="106"/>
      <c r="J7" s="106"/>
      <c r="K7" s="106"/>
      <c r="L7" s="106"/>
      <c r="M7" s="106"/>
      <c r="N7" s="106"/>
      <c r="O7" s="106"/>
      <c r="P7" s="106"/>
      <c r="Q7" s="106"/>
      <c r="R7" s="106"/>
      <c r="S7" s="5"/>
      <c r="T7" s="5"/>
      <c r="U7" s="5"/>
      <c r="V7" s="5"/>
      <c r="W7" s="5"/>
      <c r="X7" s="5"/>
      <c r="Y7" s="4"/>
      <c r="Z7" s="4"/>
      <c r="AA7" s="5"/>
      <c r="AB7" s="5"/>
      <c r="AC7" s="5"/>
      <c r="AD7" s="5"/>
      <c r="AE7" s="5"/>
      <c r="AF7" s="5"/>
      <c r="AG7" s="5"/>
      <c r="AH7" s="5"/>
      <c r="AI7" s="5"/>
      <c r="AJ7" s="5"/>
      <c r="AN7" s="5"/>
      <c r="AP7" s="83" t="s">
        <v>215</v>
      </c>
      <c r="AQ7" s="83"/>
      <c r="AR7" s="83"/>
      <c r="AS7" s="83"/>
      <c r="AT7" s="83"/>
      <c r="AU7" s="83"/>
      <c r="AV7" s="83"/>
      <c r="AW7" s="83"/>
      <c r="AX7" s="83"/>
      <c r="AY7" s="83"/>
      <c r="AZ7" s="83"/>
      <c r="BA7" s="83"/>
      <c r="BB7" s="83"/>
      <c r="BC7" s="83"/>
      <c r="BD7" s="83"/>
      <c r="BE7" s="83"/>
      <c r="BF7" s="83"/>
      <c r="BG7" s="83"/>
      <c r="BH7" s="83"/>
      <c r="BI7" s="23"/>
    </row>
    <row r="8" spans="1:63" ht="24.75" customHeight="1" x14ac:dyDescent="0.4">
      <c r="A8" s="106" t="s">
        <v>232</v>
      </c>
      <c r="B8" s="106"/>
      <c r="C8" s="106"/>
      <c r="D8" s="106"/>
      <c r="E8" s="106"/>
      <c r="F8" s="106"/>
      <c r="G8" s="106"/>
      <c r="H8" s="106"/>
      <c r="I8" s="106"/>
      <c r="J8" s="106"/>
      <c r="K8" s="106"/>
      <c r="L8" s="106"/>
      <c r="M8" s="106"/>
      <c r="N8" s="106"/>
      <c r="O8" s="106"/>
      <c r="P8" s="106"/>
      <c r="Q8" s="106"/>
      <c r="R8" s="106"/>
      <c r="S8" s="5"/>
      <c r="T8" s="5"/>
      <c r="U8" s="5"/>
      <c r="V8" s="5"/>
      <c r="W8" s="5"/>
      <c r="X8" s="5"/>
      <c r="Y8" s="4"/>
      <c r="Z8" s="4"/>
      <c r="AA8" s="5"/>
      <c r="AB8" s="5"/>
      <c r="AC8" s="5"/>
      <c r="AD8" s="5"/>
      <c r="AE8" s="5"/>
      <c r="AF8" s="5"/>
      <c r="AG8" s="5"/>
      <c r="AH8" s="5"/>
      <c r="AO8" s="106" t="s">
        <v>238</v>
      </c>
      <c r="AP8" s="106"/>
      <c r="AQ8" s="106"/>
      <c r="AR8" s="106"/>
      <c r="AS8" s="106"/>
      <c r="AT8" s="106"/>
      <c r="AU8" s="106"/>
      <c r="AV8" s="106"/>
      <c r="AW8" s="106"/>
      <c r="AX8" s="106"/>
      <c r="AY8" s="106"/>
      <c r="AZ8" s="106"/>
      <c r="BA8" s="106"/>
      <c r="BB8" s="106"/>
      <c r="BC8" s="106"/>
      <c r="BD8" s="106"/>
      <c r="BE8" s="106"/>
      <c r="BF8" s="106"/>
      <c r="BG8" s="106"/>
      <c r="BH8" s="106"/>
      <c r="BI8" s="25"/>
    </row>
    <row r="9" spans="1:63" ht="24.75" customHeight="1" x14ac:dyDescent="0.4">
      <c r="A9" s="106" t="s">
        <v>233</v>
      </c>
      <c r="B9" s="106"/>
      <c r="C9" s="106"/>
      <c r="D9" s="106"/>
      <c r="E9" s="106"/>
      <c r="F9" s="106"/>
      <c r="G9" s="106"/>
      <c r="H9" s="106"/>
      <c r="I9" s="106"/>
      <c r="J9" s="106"/>
      <c r="K9" s="106"/>
      <c r="L9" s="106"/>
      <c r="M9" s="106"/>
      <c r="N9" s="106"/>
      <c r="O9" s="106"/>
      <c r="P9" s="106"/>
      <c r="Q9" s="106"/>
      <c r="R9" s="106"/>
      <c r="S9" s="5"/>
      <c r="T9" s="5"/>
      <c r="U9" s="5"/>
      <c r="V9" s="5"/>
      <c r="W9" s="5"/>
      <c r="X9" s="4"/>
      <c r="Y9" s="4"/>
      <c r="Z9" s="4"/>
      <c r="AA9" s="5"/>
      <c r="AB9" s="5"/>
      <c r="AC9" s="5"/>
      <c r="AD9" s="5"/>
      <c r="AE9" s="5"/>
      <c r="AF9" s="5"/>
      <c r="AG9" s="5"/>
      <c r="AH9" s="5"/>
      <c r="AO9" s="106" t="s">
        <v>239</v>
      </c>
      <c r="AP9" s="106"/>
      <c r="AQ9" s="106"/>
      <c r="AR9" s="106"/>
      <c r="AS9" s="106"/>
      <c r="AT9" s="106"/>
      <c r="AU9" s="106"/>
      <c r="AV9" s="106"/>
      <c r="AW9" s="106"/>
      <c r="AX9" s="106"/>
      <c r="AY9" s="106"/>
      <c r="AZ9" s="106"/>
      <c r="BA9" s="106"/>
      <c r="BB9" s="106"/>
      <c r="BC9" s="106"/>
      <c r="BD9" s="106"/>
      <c r="BE9" s="106"/>
      <c r="BF9" s="106"/>
      <c r="BG9" s="106"/>
      <c r="BH9" s="106"/>
      <c r="BI9" s="25"/>
    </row>
    <row r="10" spans="1:63" ht="24.75" customHeight="1" x14ac:dyDescent="0.4">
      <c r="A10" s="5" t="s">
        <v>234</v>
      </c>
      <c r="B10" s="5"/>
      <c r="C10" s="5"/>
      <c r="D10" s="5"/>
      <c r="E10" s="5"/>
      <c r="F10" s="5"/>
      <c r="G10" s="5"/>
      <c r="H10" s="5"/>
      <c r="I10" s="5"/>
      <c r="J10" s="5"/>
      <c r="K10" s="5"/>
      <c r="L10" s="5"/>
      <c r="M10" s="5"/>
      <c r="N10" s="5"/>
      <c r="O10" s="5"/>
      <c r="P10" s="5"/>
      <c r="Q10" s="5"/>
      <c r="R10" s="5"/>
      <c r="S10" s="5"/>
      <c r="T10" s="5"/>
      <c r="U10" s="5"/>
      <c r="V10" s="5"/>
      <c r="W10" s="5"/>
      <c r="X10" s="4"/>
      <c r="Y10" s="4"/>
      <c r="Z10" s="4"/>
      <c r="AA10" s="5"/>
      <c r="AB10" s="5"/>
      <c r="AC10" s="5"/>
      <c r="AD10" s="5"/>
      <c r="AE10" s="5"/>
      <c r="AF10" s="5"/>
      <c r="AG10" s="5"/>
      <c r="AH10" s="5"/>
      <c r="AO10" s="106" t="s">
        <v>240</v>
      </c>
      <c r="AP10" s="106"/>
      <c r="AQ10" s="106"/>
      <c r="AR10" s="106"/>
      <c r="AS10" s="106"/>
      <c r="AT10" s="106"/>
      <c r="AU10" s="106"/>
      <c r="AV10" s="106"/>
      <c r="AW10" s="106"/>
      <c r="AX10" s="106"/>
      <c r="AY10" s="106"/>
      <c r="AZ10" s="106"/>
      <c r="BA10" s="106"/>
      <c r="BB10" s="106"/>
      <c r="BC10" s="106"/>
      <c r="BD10" s="106"/>
      <c r="BE10" s="106"/>
      <c r="BF10" s="106"/>
      <c r="BG10" s="106"/>
      <c r="BH10" s="106"/>
      <c r="BI10" s="25"/>
    </row>
    <row r="11" spans="1:63" ht="24.75" customHeight="1" x14ac:dyDescent="0.4">
      <c r="A11" s="106" t="s">
        <v>235</v>
      </c>
      <c r="B11" s="106"/>
      <c r="C11" s="106"/>
      <c r="D11" s="106"/>
      <c r="E11" s="106"/>
      <c r="F11" s="106"/>
      <c r="G11" s="106"/>
      <c r="H11" s="106"/>
      <c r="I11" s="106"/>
      <c r="J11" s="106"/>
      <c r="K11" s="106"/>
      <c r="L11" s="106"/>
      <c r="M11" s="106"/>
      <c r="N11" s="106"/>
      <c r="O11" s="106"/>
      <c r="P11" s="106"/>
      <c r="Q11" s="106"/>
      <c r="R11" s="106"/>
      <c r="S11" s="5"/>
      <c r="T11" s="5"/>
      <c r="U11" s="5"/>
      <c r="V11" s="5"/>
      <c r="W11" s="5"/>
      <c r="X11" s="4"/>
      <c r="Y11" s="4"/>
      <c r="Z11" s="4"/>
      <c r="AA11" s="5"/>
      <c r="AB11" s="5"/>
      <c r="AC11" s="5"/>
      <c r="AD11" s="5"/>
      <c r="AE11" s="5"/>
      <c r="AF11" s="5"/>
      <c r="AG11" s="5"/>
      <c r="AH11" s="5"/>
      <c r="AO11" s="106" t="s">
        <v>241</v>
      </c>
      <c r="AP11" s="106"/>
      <c r="AQ11" s="106"/>
      <c r="AR11" s="106"/>
      <c r="AS11" s="106"/>
      <c r="AT11" s="106"/>
      <c r="AU11" s="106"/>
      <c r="AV11" s="106"/>
      <c r="AW11" s="106"/>
      <c r="AX11" s="106"/>
      <c r="AY11" s="106"/>
      <c r="AZ11" s="106"/>
      <c r="BA11" s="106"/>
      <c r="BB11" s="106"/>
      <c r="BC11" s="106"/>
      <c r="BD11" s="106"/>
      <c r="BE11" s="106"/>
      <c r="BF11" s="106"/>
      <c r="BG11" s="106"/>
      <c r="BH11" s="106"/>
      <c r="BI11" s="25"/>
    </row>
    <row r="12" spans="1:63" ht="24.75" customHeight="1" x14ac:dyDescent="0.4">
      <c r="A12" s="106" t="s">
        <v>236</v>
      </c>
      <c r="B12" s="106"/>
      <c r="C12" s="106"/>
      <c r="D12" s="106"/>
      <c r="E12" s="106"/>
      <c r="F12" s="106"/>
      <c r="G12" s="106"/>
      <c r="H12" s="106"/>
      <c r="I12" s="106"/>
      <c r="J12" s="106"/>
      <c r="K12" s="106"/>
      <c r="L12" s="106"/>
      <c r="M12" s="106"/>
      <c r="N12" s="106"/>
      <c r="O12" s="106"/>
      <c r="P12" s="106"/>
      <c r="Q12" s="106"/>
      <c r="R12" s="106"/>
      <c r="S12" s="5"/>
      <c r="T12" s="5"/>
      <c r="U12" s="5"/>
      <c r="V12" s="5"/>
      <c r="W12" s="5"/>
      <c r="X12" s="5"/>
      <c r="AA12" s="5"/>
      <c r="AB12" s="5"/>
      <c r="AC12" s="5"/>
      <c r="AD12" s="5"/>
      <c r="AE12" s="5"/>
      <c r="AF12" s="5"/>
      <c r="AG12" s="5"/>
      <c r="AH12" s="5"/>
      <c r="AO12" s="106" t="s">
        <v>266</v>
      </c>
      <c r="AP12" s="106"/>
      <c r="AQ12" s="106"/>
      <c r="AR12" s="106"/>
      <c r="AS12" s="106"/>
      <c r="AT12" s="106"/>
      <c r="AU12" s="106"/>
      <c r="AV12" s="106"/>
      <c r="AW12" s="106"/>
      <c r="AX12" s="106"/>
      <c r="AY12" s="106"/>
      <c r="AZ12" s="106"/>
      <c r="BA12" s="106"/>
      <c r="BB12" s="106"/>
      <c r="BC12" s="106"/>
      <c r="BD12" s="106"/>
      <c r="BE12" s="106"/>
      <c r="BF12" s="106"/>
      <c r="BG12" s="106"/>
      <c r="BH12" s="106"/>
      <c r="BI12" s="25"/>
    </row>
    <row r="13" spans="1:63" s="14" customFormat="1" ht="24.75" customHeight="1" x14ac:dyDescent="0.4">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25"/>
      <c r="BJ13" s="25"/>
      <c r="BK13" s="24"/>
    </row>
    <row r="14" spans="1:63" ht="22.8" x14ac:dyDescent="0.3">
      <c r="A14" s="3"/>
      <c r="B14" s="23" t="s">
        <v>230</v>
      </c>
      <c r="C14" s="3"/>
      <c r="D14" s="3"/>
      <c r="E14" s="3"/>
      <c r="F14" s="3"/>
      <c r="G14" s="3"/>
      <c r="H14" s="3"/>
      <c r="I14" s="3"/>
      <c r="J14" s="3"/>
      <c r="K14" s="3"/>
      <c r="L14" s="3"/>
      <c r="M14" s="3"/>
      <c r="N14" s="3"/>
      <c r="O14" s="26" t="s">
        <v>237</v>
      </c>
      <c r="P14" s="3"/>
      <c r="Q14" s="3"/>
      <c r="R14" s="3"/>
      <c r="S14" s="3"/>
    </row>
    <row r="15" spans="1:63" ht="12.75" customHeight="1" x14ac:dyDescent="0.4">
      <c r="A15" s="3"/>
      <c r="B15" s="24" t="s">
        <v>231</v>
      </c>
      <c r="C15" s="3"/>
      <c r="D15" s="3"/>
      <c r="E15" s="3"/>
      <c r="F15" s="3"/>
      <c r="G15" s="3"/>
      <c r="H15" s="3"/>
      <c r="I15" s="3"/>
      <c r="J15" s="3"/>
      <c r="K15" s="3"/>
      <c r="L15" s="3"/>
      <c r="M15" s="3"/>
      <c r="N15" s="3"/>
      <c r="O15" s="3"/>
      <c r="P15" s="3"/>
      <c r="Q15" s="3"/>
      <c r="R15" s="3"/>
      <c r="S15" s="3"/>
      <c r="AV15" s="2"/>
    </row>
    <row r="16" spans="1:63" ht="20.399999999999999" x14ac:dyDescent="0.35">
      <c r="A16" s="3"/>
      <c r="B16" s="3"/>
      <c r="C16" s="3"/>
      <c r="D16" s="3"/>
      <c r="E16" s="3"/>
      <c r="F16" s="3"/>
      <c r="G16" s="3"/>
      <c r="H16" s="3"/>
      <c r="I16" s="3"/>
      <c r="J16" s="3"/>
      <c r="K16" s="3"/>
      <c r="L16" s="3"/>
      <c r="M16" s="3"/>
      <c r="N16" s="3"/>
      <c r="O16" s="3"/>
      <c r="P16" s="3"/>
      <c r="Q16" s="3"/>
      <c r="R16" s="3"/>
      <c r="S16" s="3"/>
      <c r="AV16" s="161" t="s">
        <v>42</v>
      </c>
      <c r="AW16" s="161"/>
      <c r="AX16" s="161"/>
      <c r="AY16" s="161"/>
      <c r="AZ16" s="161"/>
      <c r="BA16" s="161"/>
      <c r="BB16" s="161"/>
      <c r="BC16" s="161"/>
      <c r="BD16" s="161"/>
      <c r="BE16" s="161"/>
      <c r="BF16" s="161"/>
      <c r="BG16" s="161"/>
      <c r="BH16" s="161"/>
    </row>
    <row r="17" spans="1:61" ht="20.399999999999999" x14ac:dyDescent="0.35">
      <c r="A17" s="3"/>
      <c r="B17" s="3"/>
      <c r="C17" s="3"/>
      <c r="D17" s="3"/>
      <c r="E17" s="3"/>
      <c r="F17" s="3"/>
      <c r="G17" s="3"/>
      <c r="H17" s="3"/>
      <c r="I17" s="3"/>
      <c r="J17" s="3"/>
      <c r="K17" s="3"/>
      <c r="L17" s="3"/>
      <c r="M17" s="3"/>
      <c r="N17" s="3"/>
      <c r="O17" s="3"/>
      <c r="P17" s="3"/>
      <c r="Q17" s="3"/>
      <c r="R17" s="3"/>
      <c r="S17" s="3"/>
      <c r="AV17" s="161" t="s">
        <v>43</v>
      </c>
      <c r="AW17" s="161"/>
      <c r="AX17" s="161"/>
      <c r="AY17" s="161"/>
      <c r="AZ17" s="161"/>
      <c r="BA17" s="161"/>
      <c r="BB17" s="161"/>
      <c r="BC17" s="161"/>
      <c r="BD17" s="161"/>
      <c r="BE17" s="161"/>
      <c r="BF17" s="161"/>
      <c r="BG17" s="161"/>
      <c r="BH17" s="161"/>
    </row>
    <row r="18" spans="1:61" ht="20.399999999999999" x14ac:dyDescent="0.35">
      <c r="A18" s="145" t="s">
        <v>198</v>
      </c>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BC18" s="3"/>
      <c r="BD18" s="157"/>
      <c r="BE18" s="158"/>
      <c r="BF18" s="158"/>
      <c r="BG18" s="158"/>
      <c r="BH18" s="158"/>
      <c r="BI18" s="25"/>
    </row>
    <row r="19" spans="1:61" ht="13.5" customHeight="1" x14ac:dyDescent="0.35">
      <c r="A19" s="1" t="s">
        <v>36</v>
      </c>
      <c r="BC19" s="145"/>
      <c r="BD19" s="145"/>
      <c r="BE19" s="145"/>
      <c r="BF19" s="145"/>
      <c r="BG19" s="145"/>
      <c r="BH19" s="145"/>
      <c r="BI19" s="27"/>
    </row>
    <row r="20" spans="1:61" ht="27.75" customHeight="1" x14ac:dyDescent="0.25">
      <c r="A20" s="159" t="s">
        <v>67</v>
      </c>
      <c r="B20" s="153" t="s">
        <v>44</v>
      </c>
      <c r="C20" s="153"/>
      <c r="D20" s="153"/>
      <c r="E20" s="153"/>
      <c r="F20" s="154" t="s">
        <v>0</v>
      </c>
      <c r="G20" s="153" t="s">
        <v>45</v>
      </c>
      <c r="H20" s="153"/>
      <c r="I20" s="153"/>
      <c r="J20" s="154" t="s">
        <v>84</v>
      </c>
      <c r="K20" s="153" t="s">
        <v>46</v>
      </c>
      <c r="L20" s="153"/>
      <c r="M20" s="153"/>
      <c r="N20" s="153"/>
      <c r="O20" s="153" t="s">
        <v>47</v>
      </c>
      <c r="P20" s="153"/>
      <c r="Q20" s="153"/>
      <c r="R20" s="153"/>
      <c r="S20" s="154" t="s">
        <v>1</v>
      </c>
      <c r="T20" s="153" t="s">
        <v>48</v>
      </c>
      <c r="U20" s="153"/>
      <c r="V20" s="153"/>
      <c r="W20" s="154" t="s">
        <v>2</v>
      </c>
      <c r="X20" s="153" t="s">
        <v>49</v>
      </c>
      <c r="Y20" s="153"/>
      <c r="Z20" s="153"/>
      <c r="AA20" s="154" t="s">
        <v>3</v>
      </c>
      <c r="AB20" s="153" t="s">
        <v>50</v>
      </c>
      <c r="AC20" s="153"/>
      <c r="AD20" s="153"/>
      <c r="AE20" s="153"/>
      <c r="AF20" s="154" t="s">
        <v>4</v>
      </c>
      <c r="AG20" s="153" t="s">
        <v>51</v>
      </c>
      <c r="AH20" s="153"/>
      <c r="AI20" s="153"/>
      <c r="AJ20" s="154" t="s">
        <v>5</v>
      </c>
      <c r="AK20" s="153" t="s">
        <v>52</v>
      </c>
      <c r="AL20" s="153"/>
      <c r="AM20" s="153"/>
      <c r="AN20" s="153"/>
      <c r="AO20" s="162" t="s">
        <v>53</v>
      </c>
      <c r="AP20" s="163"/>
      <c r="AQ20" s="163"/>
      <c r="AR20" s="164"/>
      <c r="AS20" s="154" t="s">
        <v>6</v>
      </c>
      <c r="AT20" s="162" t="s">
        <v>54</v>
      </c>
      <c r="AU20" s="163"/>
      <c r="AV20" s="164"/>
      <c r="AW20" s="154" t="s">
        <v>7</v>
      </c>
      <c r="AX20" s="162" t="s">
        <v>55</v>
      </c>
      <c r="AY20" s="163"/>
      <c r="AZ20" s="163"/>
      <c r="BA20" s="164"/>
      <c r="BC20" s="28"/>
      <c r="BD20" s="28"/>
      <c r="BE20" s="28"/>
      <c r="BF20" s="28"/>
      <c r="BG20" s="28"/>
      <c r="BH20" s="28"/>
      <c r="BI20" s="29"/>
    </row>
    <row r="21" spans="1:61" ht="72.75" customHeight="1" x14ac:dyDescent="0.25">
      <c r="A21" s="160"/>
      <c r="B21" s="30" t="s">
        <v>8</v>
      </c>
      <c r="C21" s="31" t="s">
        <v>9</v>
      </c>
      <c r="D21" s="30" t="s">
        <v>10</v>
      </c>
      <c r="E21" s="30" t="s">
        <v>11</v>
      </c>
      <c r="F21" s="156"/>
      <c r="G21" s="30" t="s">
        <v>12</v>
      </c>
      <c r="H21" s="30" t="s">
        <v>13</v>
      </c>
      <c r="I21" s="30" t="s">
        <v>14</v>
      </c>
      <c r="J21" s="155"/>
      <c r="K21" s="30" t="s">
        <v>15</v>
      </c>
      <c r="L21" s="30" t="s">
        <v>16</v>
      </c>
      <c r="M21" s="30" t="s">
        <v>17</v>
      </c>
      <c r="N21" s="30" t="s">
        <v>18</v>
      </c>
      <c r="O21" s="30" t="s">
        <v>8</v>
      </c>
      <c r="P21" s="30" t="s">
        <v>9</v>
      </c>
      <c r="Q21" s="30" t="s">
        <v>10</v>
      </c>
      <c r="R21" s="30" t="s">
        <v>11</v>
      </c>
      <c r="S21" s="156"/>
      <c r="T21" s="30" t="s">
        <v>19</v>
      </c>
      <c r="U21" s="30" t="s">
        <v>20</v>
      </c>
      <c r="V21" s="30" t="s">
        <v>21</v>
      </c>
      <c r="W21" s="155"/>
      <c r="X21" s="30" t="s">
        <v>22</v>
      </c>
      <c r="Y21" s="30" t="s">
        <v>23</v>
      </c>
      <c r="Z21" s="30" t="s">
        <v>24</v>
      </c>
      <c r="AA21" s="155"/>
      <c r="AB21" s="30" t="s">
        <v>22</v>
      </c>
      <c r="AC21" s="30" t="s">
        <v>23</v>
      </c>
      <c r="AD21" s="30" t="s">
        <v>24</v>
      </c>
      <c r="AE21" s="30" t="s">
        <v>25</v>
      </c>
      <c r="AF21" s="156"/>
      <c r="AG21" s="30" t="s">
        <v>12</v>
      </c>
      <c r="AH21" s="30" t="s">
        <v>13</v>
      </c>
      <c r="AI21" s="30" t="s">
        <v>14</v>
      </c>
      <c r="AJ21" s="155"/>
      <c r="AK21" s="30" t="s">
        <v>26</v>
      </c>
      <c r="AL21" s="30" t="s">
        <v>27</v>
      </c>
      <c r="AM21" s="30" t="s">
        <v>28</v>
      </c>
      <c r="AN21" s="30" t="s">
        <v>29</v>
      </c>
      <c r="AO21" s="30" t="s">
        <v>8</v>
      </c>
      <c r="AP21" s="30" t="s">
        <v>9</v>
      </c>
      <c r="AQ21" s="30" t="s">
        <v>10</v>
      </c>
      <c r="AR21" s="30" t="s">
        <v>11</v>
      </c>
      <c r="AS21" s="155"/>
      <c r="AT21" s="30" t="s">
        <v>12</v>
      </c>
      <c r="AU21" s="30" t="s">
        <v>13</v>
      </c>
      <c r="AV21" s="30" t="s">
        <v>14</v>
      </c>
      <c r="AW21" s="155"/>
      <c r="AX21" s="30" t="s">
        <v>15</v>
      </c>
      <c r="AY21" s="30" t="s">
        <v>16</v>
      </c>
      <c r="AZ21" s="30" t="s">
        <v>17</v>
      </c>
      <c r="BA21" s="30" t="s">
        <v>18</v>
      </c>
      <c r="BB21" s="24"/>
      <c r="BC21" s="32"/>
      <c r="BD21" s="32"/>
      <c r="BE21" s="32"/>
      <c r="BF21" s="32"/>
      <c r="BG21" s="32"/>
      <c r="BH21" s="32"/>
      <c r="BI21" s="23"/>
    </row>
    <row r="22" spans="1:61" ht="23.25" customHeight="1" x14ac:dyDescent="0.25">
      <c r="A22" s="33" t="s">
        <v>30</v>
      </c>
      <c r="B22" s="34"/>
      <c r="C22" s="34"/>
      <c r="D22" s="35" t="s">
        <v>207</v>
      </c>
      <c r="E22" s="35" t="s">
        <v>207</v>
      </c>
      <c r="F22" s="35" t="s">
        <v>207</v>
      </c>
      <c r="G22" s="35" t="s">
        <v>207</v>
      </c>
      <c r="H22" s="35" t="s">
        <v>207</v>
      </c>
      <c r="I22" s="35" t="s">
        <v>207</v>
      </c>
      <c r="J22" s="35" t="s">
        <v>207</v>
      </c>
      <c r="K22" s="35" t="s">
        <v>207</v>
      </c>
      <c r="L22" s="35" t="s">
        <v>207</v>
      </c>
      <c r="M22" s="35" t="s">
        <v>207</v>
      </c>
      <c r="N22" s="35" t="s">
        <v>207</v>
      </c>
      <c r="O22" s="35" t="s">
        <v>207</v>
      </c>
      <c r="P22" s="35" t="s">
        <v>207</v>
      </c>
      <c r="Q22" s="35" t="s">
        <v>208</v>
      </c>
      <c r="R22" s="35" t="s">
        <v>208</v>
      </c>
      <c r="S22" s="36" t="s">
        <v>31</v>
      </c>
      <c r="T22" s="36" t="s">
        <v>31</v>
      </c>
      <c r="U22" s="36" t="s">
        <v>31</v>
      </c>
      <c r="V22" s="36" t="s">
        <v>31</v>
      </c>
      <c r="W22" s="36" t="s">
        <v>31</v>
      </c>
      <c r="X22" s="37" t="s">
        <v>213</v>
      </c>
      <c r="Y22" s="37" t="s">
        <v>213</v>
      </c>
      <c r="Z22" s="35" t="s">
        <v>207</v>
      </c>
      <c r="AA22" s="35" t="s">
        <v>207</v>
      </c>
      <c r="AB22" s="35" t="s">
        <v>207</v>
      </c>
      <c r="AC22" s="35" t="s">
        <v>207</v>
      </c>
      <c r="AD22" s="35" t="s">
        <v>207</v>
      </c>
      <c r="AE22" s="35" t="s">
        <v>207</v>
      </c>
      <c r="AF22" s="35" t="s">
        <v>207</v>
      </c>
      <c r="AG22" s="35" t="s">
        <v>207</v>
      </c>
      <c r="AH22" s="35" t="s">
        <v>207</v>
      </c>
      <c r="AI22" s="35" t="s">
        <v>207</v>
      </c>
      <c r="AJ22" s="35" t="s">
        <v>207</v>
      </c>
      <c r="AK22" s="35" t="s">
        <v>208</v>
      </c>
      <c r="AL22" s="35" t="s">
        <v>208</v>
      </c>
      <c r="AM22" s="35" t="s">
        <v>208</v>
      </c>
      <c r="AN22" s="35" t="s">
        <v>208</v>
      </c>
      <c r="AO22" s="36" t="s">
        <v>31</v>
      </c>
      <c r="AP22" s="36" t="s">
        <v>31</v>
      </c>
      <c r="AQ22" s="36" t="s">
        <v>31</v>
      </c>
      <c r="AR22" s="36" t="s">
        <v>31</v>
      </c>
      <c r="AS22" s="38" t="s">
        <v>33</v>
      </c>
      <c r="AT22" s="38" t="s">
        <v>33</v>
      </c>
      <c r="AU22" s="38" t="s">
        <v>33</v>
      </c>
      <c r="AV22" s="38" t="s">
        <v>33</v>
      </c>
      <c r="AW22" s="38" t="s">
        <v>33</v>
      </c>
      <c r="AX22" s="38" t="s">
        <v>33</v>
      </c>
      <c r="AY22" s="38" t="s">
        <v>33</v>
      </c>
      <c r="AZ22" s="38" t="s">
        <v>33</v>
      </c>
      <c r="BA22" s="38" t="s">
        <v>33</v>
      </c>
      <c r="BB22" s="24"/>
      <c r="BC22" s="32"/>
      <c r="BD22" s="32"/>
      <c r="BE22" s="32"/>
      <c r="BF22" s="32"/>
      <c r="BG22" s="32"/>
      <c r="BH22" s="32"/>
      <c r="BI22" s="23"/>
    </row>
    <row r="23" spans="1:61" ht="27" customHeight="1" x14ac:dyDescent="0.25">
      <c r="A23" s="33" t="s">
        <v>32</v>
      </c>
      <c r="B23" s="37" t="s">
        <v>213</v>
      </c>
      <c r="C23" s="37" t="s">
        <v>213</v>
      </c>
      <c r="D23" s="35" t="s">
        <v>207</v>
      </c>
      <c r="E23" s="35" t="s">
        <v>207</v>
      </c>
      <c r="F23" s="35" t="s">
        <v>207</v>
      </c>
      <c r="G23" s="35" t="s">
        <v>207</v>
      </c>
      <c r="H23" s="35" t="s">
        <v>207</v>
      </c>
      <c r="I23" s="35" t="s">
        <v>207</v>
      </c>
      <c r="J23" s="35" t="s">
        <v>207</v>
      </c>
      <c r="K23" s="35" t="s">
        <v>207</v>
      </c>
      <c r="L23" s="35" t="s">
        <v>207</v>
      </c>
      <c r="M23" s="35" t="s">
        <v>207</v>
      </c>
      <c r="N23" s="35" t="s">
        <v>207</v>
      </c>
      <c r="O23" s="35" t="s">
        <v>207</v>
      </c>
      <c r="P23" s="35" t="s">
        <v>207</v>
      </c>
      <c r="Q23" s="35" t="s">
        <v>218</v>
      </c>
      <c r="R23" s="35" t="s">
        <v>218</v>
      </c>
      <c r="S23" s="36" t="s">
        <v>31</v>
      </c>
      <c r="T23" s="36" t="s">
        <v>31</v>
      </c>
      <c r="U23" s="36" t="s">
        <v>31</v>
      </c>
      <c r="V23" s="36" t="s">
        <v>31</v>
      </c>
      <c r="W23" s="36" t="s">
        <v>31</v>
      </c>
      <c r="X23" s="37" t="s">
        <v>213</v>
      </c>
      <c r="Y23" s="37" t="s">
        <v>213</v>
      </c>
      <c r="Z23" s="35" t="s">
        <v>207</v>
      </c>
      <c r="AA23" s="35" t="s">
        <v>207</v>
      </c>
      <c r="AB23" s="35" t="s">
        <v>207</v>
      </c>
      <c r="AC23" s="35" t="s">
        <v>207</v>
      </c>
      <c r="AD23" s="35" t="s">
        <v>207</v>
      </c>
      <c r="AE23" s="35" t="s">
        <v>207</v>
      </c>
      <c r="AF23" s="35" t="s">
        <v>207</v>
      </c>
      <c r="AG23" s="35" t="s">
        <v>207</v>
      </c>
      <c r="AH23" s="35" t="s">
        <v>207</v>
      </c>
      <c r="AI23" s="35" t="s">
        <v>207</v>
      </c>
      <c r="AJ23" s="35" t="s">
        <v>207</v>
      </c>
      <c r="AK23" s="35" t="s">
        <v>207</v>
      </c>
      <c r="AL23" s="35" t="s">
        <v>207</v>
      </c>
      <c r="AM23" s="35" t="s">
        <v>218</v>
      </c>
      <c r="AN23" s="35" t="s">
        <v>218</v>
      </c>
      <c r="AO23" s="36" t="s">
        <v>31</v>
      </c>
      <c r="AP23" s="36" t="s">
        <v>31</v>
      </c>
      <c r="AQ23" s="36" t="s">
        <v>31</v>
      </c>
      <c r="AR23" s="36" t="s">
        <v>31</v>
      </c>
      <c r="AS23" s="38" t="s">
        <v>33</v>
      </c>
      <c r="AT23" s="38" t="s">
        <v>33</v>
      </c>
      <c r="AU23" s="38" t="s">
        <v>33</v>
      </c>
      <c r="AV23" s="38" t="s">
        <v>33</v>
      </c>
      <c r="AW23" s="38" t="s">
        <v>33</v>
      </c>
      <c r="AX23" s="38" t="s">
        <v>33</v>
      </c>
      <c r="AY23" s="38" t="s">
        <v>33</v>
      </c>
      <c r="AZ23" s="38" t="s">
        <v>33</v>
      </c>
      <c r="BA23" s="38" t="s">
        <v>33</v>
      </c>
      <c r="BB23" s="24"/>
      <c r="BC23" s="32"/>
      <c r="BD23" s="32"/>
      <c r="BE23" s="32"/>
      <c r="BF23" s="32"/>
      <c r="BG23" s="32"/>
      <c r="BH23" s="32"/>
      <c r="BI23" s="23"/>
    </row>
    <row r="24" spans="1:61" ht="23.25" customHeight="1" x14ac:dyDescent="0.25">
      <c r="A24" s="33" t="s">
        <v>34</v>
      </c>
      <c r="B24" s="37" t="s">
        <v>213</v>
      </c>
      <c r="C24" s="37" t="s">
        <v>213</v>
      </c>
      <c r="D24" s="35" t="s">
        <v>207</v>
      </c>
      <c r="E24" s="35" t="s">
        <v>207</v>
      </c>
      <c r="F24" s="35" t="s">
        <v>207</v>
      </c>
      <c r="G24" s="35" t="s">
        <v>207</v>
      </c>
      <c r="H24" s="35" t="s">
        <v>207</v>
      </c>
      <c r="I24" s="35" t="s">
        <v>207</v>
      </c>
      <c r="J24" s="35" t="s">
        <v>207</v>
      </c>
      <c r="K24" s="35" t="s">
        <v>207</v>
      </c>
      <c r="L24" s="35" t="s">
        <v>207</v>
      </c>
      <c r="M24" s="35" t="s">
        <v>207</v>
      </c>
      <c r="N24" s="35" t="s">
        <v>207</v>
      </c>
      <c r="O24" s="35" t="s">
        <v>207</v>
      </c>
      <c r="P24" s="35" t="s">
        <v>207</v>
      </c>
      <c r="Q24" s="35" t="s">
        <v>207</v>
      </c>
      <c r="R24" s="35" t="s">
        <v>207</v>
      </c>
      <c r="S24" s="36" t="s">
        <v>31</v>
      </c>
      <c r="T24" s="36" t="s">
        <v>31</v>
      </c>
      <c r="U24" s="36" t="s">
        <v>31</v>
      </c>
      <c r="V24" s="36" t="s">
        <v>31</v>
      </c>
      <c r="W24" s="36" t="s">
        <v>31</v>
      </c>
      <c r="X24" s="37" t="s">
        <v>213</v>
      </c>
      <c r="Y24" s="37" t="s">
        <v>213</v>
      </c>
      <c r="Z24" s="35" t="s">
        <v>207</v>
      </c>
      <c r="AA24" s="35" t="s">
        <v>207</v>
      </c>
      <c r="AB24" s="35" t="s">
        <v>207</v>
      </c>
      <c r="AC24" s="35" t="s">
        <v>207</v>
      </c>
      <c r="AD24" s="35" t="s">
        <v>207</v>
      </c>
      <c r="AE24" s="35" t="s">
        <v>207</v>
      </c>
      <c r="AF24" s="35" t="s">
        <v>207</v>
      </c>
      <c r="AG24" s="35" t="s">
        <v>207</v>
      </c>
      <c r="AH24" s="35" t="s">
        <v>207</v>
      </c>
      <c r="AI24" s="35" t="s">
        <v>207</v>
      </c>
      <c r="AJ24" s="35" t="s">
        <v>207</v>
      </c>
      <c r="AK24" s="35" t="s">
        <v>207</v>
      </c>
      <c r="AL24" s="35" t="s">
        <v>207</v>
      </c>
      <c r="AM24" s="35" t="s">
        <v>207</v>
      </c>
      <c r="AN24" s="35" t="s">
        <v>207</v>
      </c>
      <c r="AO24" s="36" t="s">
        <v>31</v>
      </c>
      <c r="AP24" s="36" t="s">
        <v>31</v>
      </c>
      <c r="AQ24" s="36" t="s">
        <v>31</v>
      </c>
      <c r="AR24" s="36" t="s">
        <v>31</v>
      </c>
      <c r="AS24" s="38" t="s">
        <v>33</v>
      </c>
      <c r="AT24" s="38" t="s">
        <v>33</v>
      </c>
      <c r="AU24" s="38" t="s">
        <v>33</v>
      </c>
      <c r="AV24" s="38" t="s">
        <v>33</v>
      </c>
      <c r="AW24" s="38" t="s">
        <v>33</v>
      </c>
      <c r="AX24" s="38" t="s">
        <v>33</v>
      </c>
      <c r="AY24" s="38" t="s">
        <v>33</v>
      </c>
      <c r="AZ24" s="38" t="s">
        <v>33</v>
      </c>
      <c r="BA24" s="38" t="s">
        <v>33</v>
      </c>
      <c r="BB24" s="24"/>
      <c r="BC24" s="32"/>
      <c r="BD24" s="32"/>
      <c r="BE24" s="32"/>
      <c r="BF24" s="32"/>
      <c r="BG24" s="32"/>
      <c r="BH24" s="32"/>
      <c r="BI24" s="23"/>
    </row>
    <row r="25" spans="1:61" ht="23.25" customHeight="1" x14ac:dyDescent="0.25">
      <c r="A25" s="33" t="s">
        <v>35</v>
      </c>
      <c r="B25" s="38" t="s">
        <v>33</v>
      </c>
      <c r="C25" s="37" t="s">
        <v>213</v>
      </c>
      <c r="D25" s="35" t="s">
        <v>207</v>
      </c>
      <c r="E25" s="35" t="s">
        <v>207</v>
      </c>
      <c r="F25" s="35" t="s">
        <v>207</v>
      </c>
      <c r="G25" s="35" t="s">
        <v>207</v>
      </c>
      <c r="H25" s="35" t="s">
        <v>207</v>
      </c>
      <c r="I25" s="35" t="s">
        <v>207</v>
      </c>
      <c r="J25" s="35" t="s">
        <v>207</v>
      </c>
      <c r="K25" s="35" t="s">
        <v>207</v>
      </c>
      <c r="L25" s="35" t="s">
        <v>207</v>
      </c>
      <c r="M25" s="35" t="s">
        <v>207</v>
      </c>
      <c r="N25" s="35" t="s">
        <v>207</v>
      </c>
      <c r="O25" s="35" t="s">
        <v>207</v>
      </c>
      <c r="P25" s="35" t="s">
        <v>207</v>
      </c>
      <c r="Q25" s="35" t="s">
        <v>207</v>
      </c>
      <c r="R25" s="35" t="s">
        <v>207</v>
      </c>
      <c r="S25" s="36" t="s">
        <v>31</v>
      </c>
      <c r="T25" s="36" t="s">
        <v>31</v>
      </c>
      <c r="U25" s="36" t="s">
        <v>31</v>
      </c>
      <c r="V25" s="36" t="s">
        <v>31</v>
      </c>
      <c r="W25" s="36" t="s">
        <v>31</v>
      </c>
      <c r="X25" s="37" t="s">
        <v>213</v>
      </c>
      <c r="Y25" s="37" t="s">
        <v>213</v>
      </c>
      <c r="Z25" s="38" t="s">
        <v>205</v>
      </c>
      <c r="AA25" s="38" t="s">
        <v>205</v>
      </c>
      <c r="AB25" s="38" t="s">
        <v>205</v>
      </c>
      <c r="AC25" s="38" t="s">
        <v>205</v>
      </c>
      <c r="AD25" s="38" t="s">
        <v>205</v>
      </c>
      <c r="AE25" s="38" t="s">
        <v>205</v>
      </c>
      <c r="AF25" s="38" t="s">
        <v>205</v>
      </c>
      <c r="AG25" s="38" t="s">
        <v>205</v>
      </c>
      <c r="AH25" s="38" t="s">
        <v>205</v>
      </c>
      <c r="AI25" s="38" t="s">
        <v>205</v>
      </c>
      <c r="AJ25" s="38" t="s">
        <v>205</v>
      </c>
      <c r="AK25" s="38" t="s">
        <v>205</v>
      </c>
      <c r="AL25" s="38" t="s">
        <v>205</v>
      </c>
      <c r="AM25" s="38" t="s">
        <v>205</v>
      </c>
      <c r="AN25" s="39" t="s">
        <v>32</v>
      </c>
      <c r="AO25" s="39" t="s">
        <v>32</v>
      </c>
      <c r="AP25" s="39" t="s">
        <v>32</v>
      </c>
      <c r="AQ25" s="39" t="s">
        <v>32</v>
      </c>
      <c r="AR25" s="39" t="s">
        <v>32</v>
      </c>
      <c r="AS25" s="39" t="s">
        <v>32</v>
      </c>
      <c r="AT25" s="32"/>
      <c r="AU25" s="32"/>
      <c r="AV25" s="32"/>
      <c r="AW25" s="32"/>
      <c r="AX25" s="32"/>
      <c r="AY25" s="32"/>
      <c r="AZ25" s="32"/>
      <c r="BA25" s="32"/>
      <c r="BB25" s="24"/>
      <c r="BD25" s="32"/>
    </row>
    <row r="26" spans="1:61" ht="14.25" customHeight="1" thickBot="1" x14ac:dyDescent="0.35">
      <c r="A26" s="32"/>
      <c r="B26" s="32"/>
      <c r="C26" s="32"/>
      <c r="D26" s="32"/>
      <c r="E26" s="32"/>
      <c r="F26" s="32"/>
      <c r="G26" s="32"/>
      <c r="H26" s="32"/>
      <c r="I26" s="32"/>
      <c r="J26" s="32"/>
      <c r="K26" s="32"/>
      <c r="L26" s="32"/>
      <c r="M26" s="9"/>
      <c r="N26" s="9"/>
      <c r="O26" s="9"/>
      <c r="P26" s="9"/>
      <c r="Q26" s="9"/>
      <c r="R26" s="9"/>
      <c r="S26" s="9"/>
      <c r="T26" s="9"/>
      <c r="U26" s="9"/>
      <c r="AZ26" s="1" t="s">
        <v>36</v>
      </c>
      <c r="BB26" s="24"/>
      <c r="BC26" s="3"/>
    </row>
    <row r="27" spans="1:61" ht="23.1" customHeight="1" thickBot="1" x14ac:dyDescent="0.35">
      <c r="A27" s="3"/>
      <c r="B27" s="40" t="s">
        <v>207</v>
      </c>
      <c r="C27" s="148" t="s">
        <v>85</v>
      </c>
      <c r="D27" s="148"/>
      <c r="E27" s="148"/>
      <c r="F27" s="148"/>
      <c r="G27" s="32"/>
      <c r="H27" s="41" t="s">
        <v>31</v>
      </c>
      <c r="I27" s="148" t="s">
        <v>86</v>
      </c>
      <c r="J27" s="148"/>
      <c r="K27" s="148"/>
      <c r="L27" s="148"/>
      <c r="M27" s="148"/>
      <c r="N27" s="42" t="s">
        <v>189</v>
      </c>
      <c r="O27" s="43" t="s">
        <v>203</v>
      </c>
      <c r="P27" s="32"/>
      <c r="Q27" s="32"/>
      <c r="R27" s="32"/>
      <c r="S27" s="32"/>
      <c r="T27" s="32"/>
      <c r="U27" s="44"/>
      <c r="V27" s="42" t="s">
        <v>33</v>
      </c>
      <c r="W27" s="45" t="s">
        <v>204</v>
      </c>
      <c r="X27" s="32"/>
      <c r="Y27" s="32"/>
      <c r="Z27" s="32"/>
      <c r="AA27" s="32"/>
      <c r="AB27" s="32"/>
      <c r="AC27" s="32"/>
      <c r="AD27" s="32"/>
      <c r="AE27" s="46" t="s">
        <v>205</v>
      </c>
      <c r="AF27" s="45" t="s">
        <v>206</v>
      </c>
      <c r="AG27" s="9"/>
      <c r="AH27" s="9"/>
      <c r="AI27" s="9"/>
      <c r="AJ27" s="9"/>
      <c r="AK27" s="9"/>
      <c r="AL27" s="9"/>
      <c r="AM27" s="9"/>
      <c r="AN27" s="9"/>
      <c r="AO27" s="47" t="s">
        <v>213</v>
      </c>
      <c r="AP27" s="43" t="s">
        <v>70</v>
      </c>
      <c r="AQ27" s="32"/>
      <c r="AR27" s="9"/>
      <c r="AS27" s="9"/>
      <c r="AT27" s="48" t="s">
        <v>32</v>
      </c>
      <c r="AU27" s="45" t="s">
        <v>212</v>
      </c>
      <c r="AV27" s="32"/>
      <c r="AW27" s="49"/>
      <c r="AX27" s="49"/>
      <c r="AY27" s="50"/>
    </row>
    <row r="28" spans="1:61" ht="10.5" customHeight="1" thickBot="1" x14ac:dyDescent="0.35">
      <c r="A28" s="3"/>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
      <c r="AX28" s="3"/>
      <c r="AY28" s="3"/>
      <c r="AZ28" s="3"/>
      <c r="BA28" s="3"/>
      <c r="BB28" s="3"/>
      <c r="BC28" s="3"/>
    </row>
    <row r="29" spans="1:61" ht="22.5" customHeight="1" thickBot="1" x14ac:dyDescent="0.35">
      <c r="A29" s="3"/>
      <c r="B29" s="40" t="s">
        <v>208</v>
      </c>
      <c r="C29" s="45" t="s">
        <v>219</v>
      </c>
      <c r="D29" s="32"/>
      <c r="E29" s="32"/>
      <c r="F29" s="32"/>
      <c r="G29" s="32"/>
      <c r="H29" s="32"/>
      <c r="I29" s="32"/>
      <c r="J29" s="32"/>
      <c r="K29" s="32"/>
      <c r="L29" s="32"/>
      <c r="M29" s="32"/>
      <c r="N29" s="32"/>
      <c r="O29" s="32"/>
      <c r="P29" s="32"/>
      <c r="Q29" s="32"/>
      <c r="R29" s="32"/>
      <c r="S29" s="32"/>
      <c r="T29" s="32"/>
      <c r="U29" s="32"/>
      <c r="V29" s="40" t="s">
        <v>218</v>
      </c>
      <c r="W29" s="45" t="s">
        <v>220</v>
      </c>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
      <c r="AX29" s="3"/>
      <c r="AY29" s="3" t="s">
        <v>36</v>
      </c>
      <c r="AZ29" s="3"/>
      <c r="BA29" s="3"/>
      <c r="BB29" s="3"/>
      <c r="BC29" s="3"/>
    </row>
    <row r="30" spans="1:61" ht="17.25" customHeight="1" x14ac:dyDescent="0.3">
      <c r="A30" s="3"/>
      <c r="B30" s="51"/>
      <c r="C30" s="45"/>
      <c r="D30" s="32"/>
      <c r="E30" s="32"/>
      <c r="F30" s="32"/>
      <c r="G30" s="32"/>
      <c r="H30" s="32"/>
      <c r="I30" s="32"/>
      <c r="J30" s="32"/>
      <c r="K30" s="32"/>
      <c r="L30" s="32"/>
      <c r="M30" s="32"/>
      <c r="N30" s="32"/>
      <c r="O30" s="32"/>
      <c r="P30" s="32"/>
      <c r="Q30" s="32"/>
      <c r="R30" s="32"/>
      <c r="S30" s="32"/>
      <c r="T30" s="32"/>
      <c r="U30" s="32"/>
      <c r="V30" s="51"/>
      <c r="W30" s="45"/>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
      <c r="AX30" s="3"/>
      <c r="AY30" s="3"/>
      <c r="AZ30" s="3"/>
      <c r="BA30" s="3"/>
      <c r="BB30" s="3"/>
      <c r="BC30" s="3"/>
    </row>
    <row r="31" spans="1:61" ht="20.399999999999999" x14ac:dyDescent="0.35">
      <c r="A31" s="145" t="s">
        <v>56</v>
      </c>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27"/>
    </row>
    <row r="32" spans="1:61" ht="15.75" customHeight="1" thickBot="1" x14ac:dyDescent="0.4">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27"/>
    </row>
    <row r="33" spans="1:63" ht="30" customHeight="1" x14ac:dyDescent="0.25">
      <c r="A33" s="137" t="s">
        <v>57</v>
      </c>
      <c r="B33" s="139" t="s">
        <v>58</v>
      </c>
      <c r="C33" s="140"/>
      <c r="D33" s="140"/>
      <c r="E33" s="141"/>
      <c r="F33" s="168" t="s">
        <v>37</v>
      </c>
      <c r="G33" s="149"/>
      <c r="H33" s="149"/>
      <c r="I33" s="149"/>
      <c r="J33" s="149"/>
      <c r="K33" s="149"/>
      <c r="L33" s="149"/>
      <c r="M33" s="149"/>
      <c r="N33" s="149"/>
      <c r="O33" s="149"/>
      <c r="P33" s="149"/>
      <c r="Q33" s="149"/>
      <c r="R33" s="149"/>
      <c r="S33" s="149"/>
      <c r="T33" s="149"/>
      <c r="U33" s="150"/>
      <c r="V33" s="90" t="s">
        <v>59</v>
      </c>
      <c r="W33" s="85"/>
      <c r="X33" s="92"/>
      <c r="Y33" s="90" t="s">
        <v>60</v>
      </c>
      <c r="Z33" s="85"/>
      <c r="AA33" s="92"/>
      <c r="AB33" s="90" t="s">
        <v>61</v>
      </c>
      <c r="AC33" s="85"/>
      <c r="AD33" s="92"/>
      <c r="AE33" s="90" t="s">
        <v>62</v>
      </c>
      <c r="AF33" s="85"/>
      <c r="AG33" s="85"/>
      <c r="AH33" s="149" t="s">
        <v>63</v>
      </c>
      <c r="AI33" s="149"/>
      <c r="AJ33" s="149"/>
      <c r="AK33" s="149"/>
      <c r="AL33" s="149"/>
      <c r="AM33" s="149"/>
      <c r="AN33" s="149"/>
      <c r="AO33" s="149"/>
      <c r="AP33" s="149"/>
      <c r="AQ33" s="149"/>
      <c r="AR33" s="149"/>
      <c r="AS33" s="150"/>
      <c r="AT33" s="90" t="s">
        <v>64</v>
      </c>
      <c r="AU33" s="85"/>
      <c r="AV33" s="85"/>
      <c r="AW33" s="92"/>
      <c r="AX33" s="90" t="s">
        <v>65</v>
      </c>
      <c r="AY33" s="85"/>
      <c r="AZ33" s="85"/>
      <c r="BA33" s="92"/>
      <c r="BB33" s="90" t="s">
        <v>80</v>
      </c>
      <c r="BC33" s="85"/>
      <c r="BD33" s="85"/>
      <c r="BE33" s="86"/>
      <c r="BF33" s="84" t="s">
        <v>66</v>
      </c>
      <c r="BG33" s="85"/>
      <c r="BH33" s="86"/>
      <c r="BI33" s="29"/>
    </row>
    <row r="34" spans="1:63" ht="207.75" customHeight="1" thickBot="1" x14ac:dyDescent="0.3">
      <c r="A34" s="138"/>
      <c r="B34" s="142"/>
      <c r="C34" s="143"/>
      <c r="D34" s="143"/>
      <c r="E34" s="144"/>
      <c r="F34" s="169"/>
      <c r="G34" s="170"/>
      <c r="H34" s="170"/>
      <c r="I34" s="170"/>
      <c r="J34" s="170"/>
      <c r="K34" s="170"/>
      <c r="L34" s="170"/>
      <c r="M34" s="170"/>
      <c r="N34" s="170"/>
      <c r="O34" s="170"/>
      <c r="P34" s="170"/>
      <c r="Q34" s="170"/>
      <c r="R34" s="170"/>
      <c r="S34" s="170"/>
      <c r="T34" s="170"/>
      <c r="U34" s="171"/>
      <c r="V34" s="91"/>
      <c r="W34" s="88"/>
      <c r="X34" s="93"/>
      <c r="Y34" s="91"/>
      <c r="Z34" s="88"/>
      <c r="AA34" s="93"/>
      <c r="AB34" s="91"/>
      <c r="AC34" s="88"/>
      <c r="AD34" s="93"/>
      <c r="AE34" s="91"/>
      <c r="AF34" s="88"/>
      <c r="AG34" s="93"/>
      <c r="AH34" s="91" t="s">
        <v>38</v>
      </c>
      <c r="AI34" s="88"/>
      <c r="AJ34" s="93"/>
      <c r="AK34" s="91" t="s">
        <v>132</v>
      </c>
      <c r="AL34" s="88"/>
      <c r="AM34" s="93"/>
      <c r="AN34" s="165" t="s">
        <v>133</v>
      </c>
      <c r="AO34" s="166"/>
      <c r="AP34" s="167"/>
      <c r="AQ34" s="87" t="s">
        <v>96</v>
      </c>
      <c r="AR34" s="88"/>
      <c r="AS34" s="93"/>
      <c r="AT34" s="91"/>
      <c r="AU34" s="88"/>
      <c r="AV34" s="88"/>
      <c r="AW34" s="93"/>
      <c r="AX34" s="91"/>
      <c r="AY34" s="88"/>
      <c r="AZ34" s="88"/>
      <c r="BA34" s="93"/>
      <c r="BB34" s="91"/>
      <c r="BC34" s="88"/>
      <c r="BD34" s="88"/>
      <c r="BE34" s="89"/>
      <c r="BF34" s="87"/>
      <c r="BG34" s="88"/>
      <c r="BH34" s="89"/>
      <c r="BI34" s="29"/>
    </row>
    <row r="35" spans="1:63" ht="19.5" customHeight="1" thickBot="1" x14ac:dyDescent="0.3">
      <c r="A35" s="53">
        <v>1</v>
      </c>
      <c r="B35" s="119">
        <v>2</v>
      </c>
      <c r="C35" s="94"/>
      <c r="D35" s="94"/>
      <c r="E35" s="94"/>
      <c r="F35" s="94">
        <v>3</v>
      </c>
      <c r="G35" s="94"/>
      <c r="H35" s="94"/>
      <c r="I35" s="94"/>
      <c r="J35" s="94"/>
      <c r="K35" s="94"/>
      <c r="L35" s="94"/>
      <c r="M35" s="94"/>
      <c r="N35" s="94"/>
      <c r="O35" s="94"/>
      <c r="P35" s="94"/>
      <c r="Q35" s="94"/>
      <c r="R35" s="94"/>
      <c r="S35" s="94"/>
      <c r="T35" s="94"/>
      <c r="U35" s="94"/>
      <c r="V35" s="94">
        <v>4</v>
      </c>
      <c r="W35" s="94"/>
      <c r="X35" s="94"/>
      <c r="Y35" s="94">
        <v>5</v>
      </c>
      <c r="Z35" s="94"/>
      <c r="AA35" s="94"/>
      <c r="AB35" s="94">
        <v>6</v>
      </c>
      <c r="AC35" s="94"/>
      <c r="AD35" s="94"/>
      <c r="AE35" s="94">
        <v>7</v>
      </c>
      <c r="AF35" s="94"/>
      <c r="AG35" s="94"/>
      <c r="AH35" s="94">
        <v>8</v>
      </c>
      <c r="AI35" s="94"/>
      <c r="AJ35" s="94"/>
      <c r="AK35" s="94">
        <v>9</v>
      </c>
      <c r="AL35" s="94"/>
      <c r="AM35" s="94"/>
      <c r="AN35" s="94">
        <v>10</v>
      </c>
      <c r="AO35" s="94"/>
      <c r="AP35" s="94"/>
      <c r="AQ35" s="94">
        <v>11</v>
      </c>
      <c r="AR35" s="94"/>
      <c r="AS35" s="94"/>
      <c r="AT35" s="94">
        <v>12</v>
      </c>
      <c r="AU35" s="94"/>
      <c r="AV35" s="94"/>
      <c r="AW35" s="94"/>
      <c r="AX35" s="94">
        <v>13</v>
      </c>
      <c r="AY35" s="94"/>
      <c r="AZ35" s="94"/>
      <c r="BA35" s="94"/>
      <c r="BB35" s="94">
        <v>14</v>
      </c>
      <c r="BC35" s="94"/>
      <c r="BD35" s="94"/>
      <c r="BE35" s="94"/>
      <c r="BF35" s="94">
        <v>15</v>
      </c>
      <c r="BG35" s="94"/>
      <c r="BH35" s="95"/>
      <c r="BI35" s="23"/>
    </row>
    <row r="36" spans="1:63" ht="24" customHeight="1" thickBot="1" x14ac:dyDescent="0.3">
      <c r="A36" s="54"/>
      <c r="B36" s="147" t="s">
        <v>142</v>
      </c>
      <c r="C36" s="147"/>
      <c r="D36" s="147"/>
      <c r="E36" s="147"/>
      <c r="F36" s="147" t="s">
        <v>141</v>
      </c>
      <c r="G36" s="147"/>
      <c r="H36" s="147"/>
      <c r="I36" s="147"/>
      <c r="J36" s="147"/>
      <c r="K36" s="147"/>
      <c r="L36" s="147"/>
      <c r="M36" s="147"/>
      <c r="N36" s="147"/>
      <c r="O36" s="147"/>
      <c r="P36" s="147"/>
      <c r="Q36" s="147"/>
      <c r="R36" s="147"/>
      <c r="S36" s="147"/>
      <c r="T36" s="147"/>
      <c r="U36" s="147"/>
      <c r="V36" s="97">
        <f>V37+V39+V40+V41+V42+V43+V44+V45</f>
        <v>30</v>
      </c>
      <c r="W36" s="97"/>
      <c r="X36" s="97"/>
      <c r="Y36" s="97">
        <f>Y37+Y39+Y40+Y41+Y42+Y43+Y44+Y45</f>
        <v>900</v>
      </c>
      <c r="Z36" s="97"/>
      <c r="AA36" s="97"/>
      <c r="AB36" s="97">
        <f>AB37+AB39+AB40+AB41+AB42+AB43+AB44+AB45</f>
        <v>555</v>
      </c>
      <c r="AC36" s="97"/>
      <c r="AD36" s="97"/>
      <c r="AE36" s="97">
        <f>AE37+AE39+AE40+AE41+AE42+AE43+AE44+AE45</f>
        <v>345</v>
      </c>
      <c r="AF36" s="97"/>
      <c r="AG36" s="97"/>
      <c r="AH36" s="97">
        <f>AH37+AH39+AH40+AH41+AH42+AH43+AH44+AH45</f>
        <v>60</v>
      </c>
      <c r="AI36" s="97"/>
      <c r="AJ36" s="97"/>
      <c r="AK36" s="97">
        <f>AK37+AK39+AK40+AK41+AK42+AK43+AK44+AK45</f>
        <v>285</v>
      </c>
      <c r="AL36" s="97"/>
      <c r="AM36" s="97"/>
      <c r="AN36" s="97"/>
      <c r="AO36" s="97"/>
      <c r="AP36" s="97"/>
      <c r="AQ36" s="97"/>
      <c r="AR36" s="97"/>
      <c r="AS36" s="97"/>
      <c r="AT36" s="97"/>
      <c r="AU36" s="97"/>
      <c r="AV36" s="97"/>
      <c r="AW36" s="97"/>
      <c r="AX36" s="97"/>
      <c r="AY36" s="97"/>
      <c r="AZ36" s="97"/>
      <c r="BA36" s="97"/>
      <c r="BB36" s="97"/>
      <c r="BC36" s="97"/>
      <c r="BD36" s="97"/>
      <c r="BE36" s="97"/>
      <c r="BF36" s="176"/>
      <c r="BG36" s="176"/>
      <c r="BH36" s="177"/>
      <c r="BI36" s="23"/>
    </row>
    <row r="37" spans="1:63" ht="21.9" customHeight="1" thickBot="1" x14ac:dyDescent="0.3">
      <c r="A37" s="55">
        <v>1</v>
      </c>
      <c r="B37" s="96" t="s">
        <v>143</v>
      </c>
      <c r="C37" s="96"/>
      <c r="D37" s="96"/>
      <c r="E37" s="96"/>
      <c r="F37" s="103" t="s">
        <v>184</v>
      </c>
      <c r="G37" s="103"/>
      <c r="H37" s="103"/>
      <c r="I37" s="103"/>
      <c r="J37" s="103"/>
      <c r="K37" s="103"/>
      <c r="L37" s="103"/>
      <c r="M37" s="103"/>
      <c r="N37" s="103"/>
      <c r="O37" s="103"/>
      <c r="P37" s="103"/>
      <c r="Q37" s="103"/>
      <c r="R37" s="103"/>
      <c r="S37" s="103"/>
      <c r="T37" s="103"/>
      <c r="U37" s="103"/>
      <c r="V37" s="96">
        <v>5</v>
      </c>
      <c r="W37" s="96"/>
      <c r="X37" s="96"/>
      <c r="Y37" s="96">
        <v>150</v>
      </c>
      <c r="Z37" s="96"/>
      <c r="AA37" s="96"/>
      <c r="AB37" s="96">
        <v>90</v>
      </c>
      <c r="AC37" s="96"/>
      <c r="AD37" s="96"/>
      <c r="AE37" s="96">
        <v>60</v>
      </c>
      <c r="AF37" s="96"/>
      <c r="AG37" s="96"/>
      <c r="AH37" s="96">
        <v>30</v>
      </c>
      <c r="AI37" s="96"/>
      <c r="AJ37" s="96"/>
      <c r="AK37" s="96">
        <v>30</v>
      </c>
      <c r="AL37" s="96"/>
      <c r="AM37" s="96"/>
      <c r="AN37" s="96"/>
      <c r="AO37" s="96"/>
      <c r="AP37" s="96"/>
      <c r="AQ37" s="96"/>
      <c r="AR37" s="96"/>
      <c r="AS37" s="96"/>
      <c r="AT37" s="105"/>
      <c r="AU37" s="105"/>
      <c r="AV37" s="105"/>
      <c r="AW37" s="105"/>
      <c r="AX37" s="105"/>
      <c r="AY37" s="105"/>
      <c r="AZ37" s="105"/>
      <c r="BA37" s="105"/>
      <c r="BB37" s="105" t="s">
        <v>30</v>
      </c>
      <c r="BC37" s="105"/>
      <c r="BD37" s="105"/>
      <c r="BE37" s="105"/>
      <c r="BF37" s="96">
        <v>4</v>
      </c>
      <c r="BG37" s="96"/>
      <c r="BH37" s="96"/>
      <c r="BI37" s="23"/>
    </row>
    <row r="38" spans="1:63" ht="20.25" customHeight="1" thickBot="1" x14ac:dyDescent="0.3">
      <c r="A38" s="53">
        <v>1</v>
      </c>
      <c r="B38" s="119">
        <v>2</v>
      </c>
      <c r="C38" s="94"/>
      <c r="D38" s="94"/>
      <c r="E38" s="94"/>
      <c r="F38" s="94">
        <v>3</v>
      </c>
      <c r="G38" s="94"/>
      <c r="H38" s="94"/>
      <c r="I38" s="94"/>
      <c r="J38" s="94"/>
      <c r="K38" s="94"/>
      <c r="L38" s="94"/>
      <c r="M38" s="94"/>
      <c r="N38" s="94"/>
      <c r="O38" s="94"/>
      <c r="P38" s="94"/>
      <c r="Q38" s="94"/>
      <c r="R38" s="94"/>
      <c r="S38" s="94"/>
      <c r="T38" s="94"/>
      <c r="U38" s="94"/>
      <c r="V38" s="94">
        <v>4</v>
      </c>
      <c r="W38" s="94"/>
      <c r="X38" s="94"/>
      <c r="Y38" s="94">
        <v>5</v>
      </c>
      <c r="Z38" s="94"/>
      <c r="AA38" s="94"/>
      <c r="AB38" s="94">
        <v>6</v>
      </c>
      <c r="AC38" s="94"/>
      <c r="AD38" s="94"/>
      <c r="AE38" s="94">
        <v>7</v>
      </c>
      <c r="AF38" s="94"/>
      <c r="AG38" s="94"/>
      <c r="AH38" s="94">
        <v>8</v>
      </c>
      <c r="AI38" s="94"/>
      <c r="AJ38" s="94"/>
      <c r="AK38" s="94">
        <v>9</v>
      </c>
      <c r="AL38" s="94"/>
      <c r="AM38" s="94"/>
      <c r="AN38" s="94">
        <v>10</v>
      </c>
      <c r="AO38" s="94"/>
      <c r="AP38" s="94"/>
      <c r="AQ38" s="94">
        <v>11</v>
      </c>
      <c r="AR38" s="94"/>
      <c r="AS38" s="94"/>
      <c r="AT38" s="94">
        <v>12</v>
      </c>
      <c r="AU38" s="94"/>
      <c r="AV38" s="94"/>
      <c r="AW38" s="94"/>
      <c r="AX38" s="94">
        <v>13</v>
      </c>
      <c r="AY38" s="94"/>
      <c r="AZ38" s="94"/>
      <c r="BA38" s="94"/>
      <c r="BB38" s="94">
        <v>14</v>
      </c>
      <c r="BC38" s="94"/>
      <c r="BD38" s="94"/>
      <c r="BE38" s="94"/>
      <c r="BF38" s="94">
        <v>15</v>
      </c>
      <c r="BG38" s="94"/>
      <c r="BH38" s="95"/>
      <c r="BI38" s="23"/>
    </row>
    <row r="39" spans="1:63" ht="21.9" customHeight="1" x14ac:dyDescent="0.25">
      <c r="A39" s="56">
        <v>2</v>
      </c>
      <c r="B39" s="77" t="s">
        <v>144</v>
      </c>
      <c r="C39" s="78"/>
      <c r="D39" s="78"/>
      <c r="E39" s="79"/>
      <c r="F39" s="187" t="s">
        <v>111</v>
      </c>
      <c r="G39" s="188"/>
      <c r="H39" s="188"/>
      <c r="I39" s="188"/>
      <c r="J39" s="188"/>
      <c r="K39" s="188"/>
      <c r="L39" s="188"/>
      <c r="M39" s="188"/>
      <c r="N39" s="188"/>
      <c r="O39" s="188"/>
      <c r="P39" s="188"/>
      <c r="Q39" s="188"/>
      <c r="R39" s="188"/>
      <c r="S39" s="188"/>
      <c r="T39" s="188"/>
      <c r="U39" s="189"/>
      <c r="V39" s="77">
        <v>3</v>
      </c>
      <c r="W39" s="78"/>
      <c r="X39" s="79"/>
      <c r="Y39" s="77">
        <v>90</v>
      </c>
      <c r="Z39" s="78"/>
      <c r="AA39" s="79"/>
      <c r="AB39" s="77">
        <v>45</v>
      </c>
      <c r="AC39" s="78"/>
      <c r="AD39" s="79"/>
      <c r="AE39" s="77">
        <v>45</v>
      </c>
      <c r="AF39" s="78"/>
      <c r="AG39" s="79"/>
      <c r="AH39" s="80"/>
      <c r="AI39" s="81"/>
      <c r="AJ39" s="82"/>
      <c r="AK39" s="77">
        <v>45</v>
      </c>
      <c r="AL39" s="78"/>
      <c r="AM39" s="79"/>
      <c r="AN39" s="77"/>
      <c r="AO39" s="78"/>
      <c r="AP39" s="79"/>
      <c r="AQ39" s="77"/>
      <c r="AR39" s="78"/>
      <c r="AS39" s="79"/>
      <c r="AT39" s="77"/>
      <c r="AU39" s="78"/>
      <c r="AV39" s="78"/>
      <c r="AW39" s="79"/>
      <c r="AX39" s="80"/>
      <c r="AY39" s="81"/>
      <c r="AZ39" s="81"/>
      <c r="BA39" s="82"/>
      <c r="BB39" s="80" t="s">
        <v>30</v>
      </c>
      <c r="BC39" s="81"/>
      <c r="BD39" s="81"/>
      <c r="BE39" s="82"/>
      <c r="BF39" s="77">
        <v>3</v>
      </c>
      <c r="BG39" s="78"/>
      <c r="BH39" s="79"/>
      <c r="BI39" s="23"/>
    </row>
    <row r="40" spans="1:63" s="17" customFormat="1" ht="21.9" customHeight="1" x14ac:dyDescent="0.25">
      <c r="A40" s="57">
        <v>3</v>
      </c>
      <c r="B40" s="124" t="s">
        <v>145</v>
      </c>
      <c r="C40" s="124"/>
      <c r="D40" s="124"/>
      <c r="E40" s="124"/>
      <c r="F40" s="146" t="s">
        <v>112</v>
      </c>
      <c r="G40" s="146"/>
      <c r="H40" s="146"/>
      <c r="I40" s="146"/>
      <c r="J40" s="146"/>
      <c r="K40" s="146"/>
      <c r="L40" s="146"/>
      <c r="M40" s="146"/>
      <c r="N40" s="146"/>
      <c r="O40" s="146"/>
      <c r="P40" s="146"/>
      <c r="Q40" s="146"/>
      <c r="R40" s="146"/>
      <c r="S40" s="146"/>
      <c r="T40" s="146"/>
      <c r="U40" s="146"/>
      <c r="V40" s="124">
        <v>4</v>
      </c>
      <c r="W40" s="124"/>
      <c r="X40" s="124"/>
      <c r="Y40" s="124">
        <v>120</v>
      </c>
      <c r="Z40" s="124"/>
      <c r="AA40" s="124"/>
      <c r="AB40" s="124">
        <v>75</v>
      </c>
      <c r="AC40" s="124"/>
      <c r="AD40" s="124"/>
      <c r="AE40" s="124">
        <v>45</v>
      </c>
      <c r="AF40" s="124"/>
      <c r="AG40" s="124"/>
      <c r="AH40" s="123"/>
      <c r="AI40" s="123"/>
      <c r="AJ40" s="123"/>
      <c r="AK40" s="124">
        <v>45</v>
      </c>
      <c r="AL40" s="124"/>
      <c r="AM40" s="124"/>
      <c r="AN40" s="124"/>
      <c r="AO40" s="124"/>
      <c r="AP40" s="124"/>
      <c r="AQ40" s="124"/>
      <c r="AR40" s="124"/>
      <c r="AS40" s="124"/>
      <c r="AT40" s="123"/>
      <c r="AU40" s="123"/>
      <c r="AV40" s="123"/>
      <c r="AW40" s="123"/>
      <c r="AX40" s="123"/>
      <c r="AY40" s="123"/>
      <c r="AZ40" s="123"/>
      <c r="BA40" s="123"/>
      <c r="BB40" s="123" t="s">
        <v>32</v>
      </c>
      <c r="BC40" s="123"/>
      <c r="BD40" s="123"/>
      <c r="BE40" s="123"/>
      <c r="BF40" s="124">
        <v>3</v>
      </c>
      <c r="BG40" s="124"/>
      <c r="BH40" s="124"/>
      <c r="BI40" s="58"/>
      <c r="BJ40" s="59"/>
      <c r="BK40" s="60"/>
    </row>
    <row r="41" spans="1:63" ht="22.5" customHeight="1" x14ac:dyDescent="0.25">
      <c r="A41" s="56">
        <v>4</v>
      </c>
      <c r="B41" s="98" t="s">
        <v>146</v>
      </c>
      <c r="C41" s="98"/>
      <c r="D41" s="98"/>
      <c r="E41" s="98"/>
      <c r="F41" s="101" t="s">
        <v>114</v>
      </c>
      <c r="G41" s="101"/>
      <c r="H41" s="101"/>
      <c r="I41" s="101"/>
      <c r="J41" s="101"/>
      <c r="K41" s="101"/>
      <c r="L41" s="101"/>
      <c r="M41" s="101"/>
      <c r="N41" s="101"/>
      <c r="O41" s="101"/>
      <c r="P41" s="101"/>
      <c r="Q41" s="101"/>
      <c r="R41" s="101"/>
      <c r="S41" s="101"/>
      <c r="T41" s="101"/>
      <c r="U41" s="101"/>
      <c r="V41" s="98">
        <v>4</v>
      </c>
      <c r="W41" s="98"/>
      <c r="X41" s="98"/>
      <c r="Y41" s="98">
        <v>120</v>
      </c>
      <c r="Z41" s="98"/>
      <c r="AA41" s="98"/>
      <c r="AB41" s="98">
        <v>60</v>
      </c>
      <c r="AC41" s="98"/>
      <c r="AD41" s="98"/>
      <c r="AE41" s="98">
        <v>60</v>
      </c>
      <c r="AF41" s="98"/>
      <c r="AG41" s="98"/>
      <c r="AH41" s="100"/>
      <c r="AI41" s="100"/>
      <c r="AJ41" s="100"/>
      <c r="AK41" s="98">
        <v>60</v>
      </c>
      <c r="AL41" s="98"/>
      <c r="AM41" s="98"/>
      <c r="AN41" s="98"/>
      <c r="AO41" s="98"/>
      <c r="AP41" s="98"/>
      <c r="AQ41" s="98"/>
      <c r="AR41" s="98"/>
      <c r="AS41" s="98"/>
      <c r="AT41" s="98"/>
      <c r="AU41" s="98"/>
      <c r="AV41" s="98"/>
      <c r="AW41" s="98"/>
      <c r="AX41" s="100"/>
      <c r="AY41" s="100"/>
      <c r="AZ41" s="100"/>
      <c r="BA41" s="100"/>
      <c r="BB41" s="100" t="s">
        <v>34</v>
      </c>
      <c r="BC41" s="100"/>
      <c r="BD41" s="100"/>
      <c r="BE41" s="100"/>
      <c r="BF41" s="98">
        <v>4</v>
      </c>
      <c r="BG41" s="98"/>
      <c r="BH41" s="98"/>
      <c r="BI41" s="23"/>
    </row>
    <row r="42" spans="1:63" ht="21.9" customHeight="1" x14ac:dyDescent="0.25">
      <c r="A42" s="56">
        <v>5</v>
      </c>
      <c r="B42" s="98" t="s">
        <v>147</v>
      </c>
      <c r="C42" s="98"/>
      <c r="D42" s="98"/>
      <c r="E42" s="98"/>
      <c r="F42" s="127" t="s">
        <v>113</v>
      </c>
      <c r="G42" s="127"/>
      <c r="H42" s="127"/>
      <c r="I42" s="127"/>
      <c r="J42" s="127"/>
      <c r="K42" s="127"/>
      <c r="L42" s="127"/>
      <c r="M42" s="127"/>
      <c r="N42" s="127"/>
      <c r="O42" s="127"/>
      <c r="P42" s="127"/>
      <c r="Q42" s="127"/>
      <c r="R42" s="127"/>
      <c r="S42" s="127"/>
      <c r="T42" s="127"/>
      <c r="U42" s="127"/>
      <c r="V42" s="98">
        <v>4</v>
      </c>
      <c r="W42" s="98"/>
      <c r="X42" s="98"/>
      <c r="Y42" s="98">
        <v>120</v>
      </c>
      <c r="Z42" s="98"/>
      <c r="AA42" s="98"/>
      <c r="AB42" s="98">
        <v>75</v>
      </c>
      <c r="AC42" s="98"/>
      <c r="AD42" s="98"/>
      <c r="AE42" s="98">
        <v>45</v>
      </c>
      <c r="AF42" s="98"/>
      <c r="AG42" s="98"/>
      <c r="AH42" s="100"/>
      <c r="AI42" s="100"/>
      <c r="AJ42" s="100"/>
      <c r="AK42" s="98">
        <v>45</v>
      </c>
      <c r="AL42" s="98"/>
      <c r="AM42" s="98"/>
      <c r="AN42" s="98"/>
      <c r="AO42" s="98"/>
      <c r="AP42" s="98"/>
      <c r="AQ42" s="98"/>
      <c r="AR42" s="98"/>
      <c r="AS42" s="98"/>
      <c r="AT42" s="98"/>
      <c r="AU42" s="98"/>
      <c r="AV42" s="98"/>
      <c r="AW42" s="98"/>
      <c r="AX42" s="100"/>
      <c r="AY42" s="100"/>
      <c r="AZ42" s="100"/>
      <c r="BA42" s="100"/>
      <c r="BB42" s="100" t="s">
        <v>35</v>
      </c>
      <c r="BC42" s="100"/>
      <c r="BD42" s="100"/>
      <c r="BE42" s="100"/>
      <c r="BF42" s="98">
        <v>3</v>
      </c>
      <c r="BG42" s="98"/>
      <c r="BH42" s="98"/>
      <c r="BI42" s="23"/>
    </row>
    <row r="43" spans="1:63" s="17" customFormat="1" ht="24" customHeight="1" x14ac:dyDescent="0.25">
      <c r="A43" s="61">
        <v>6</v>
      </c>
      <c r="B43" s="126" t="s">
        <v>148</v>
      </c>
      <c r="C43" s="126"/>
      <c r="D43" s="126"/>
      <c r="E43" s="126"/>
      <c r="F43" s="128" t="s">
        <v>92</v>
      </c>
      <c r="G43" s="128"/>
      <c r="H43" s="128"/>
      <c r="I43" s="128"/>
      <c r="J43" s="128"/>
      <c r="K43" s="128"/>
      <c r="L43" s="128"/>
      <c r="M43" s="128"/>
      <c r="N43" s="128"/>
      <c r="O43" s="128"/>
      <c r="P43" s="128"/>
      <c r="Q43" s="128"/>
      <c r="R43" s="128"/>
      <c r="S43" s="128"/>
      <c r="T43" s="128"/>
      <c r="U43" s="128"/>
      <c r="V43" s="126">
        <v>4</v>
      </c>
      <c r="W43" s="126"/>
      <c r="X43" s="126"/>
      <c r="Y43" s="126">
        <v>120</v>
      </c>
      <c r="Z43" s="126"/>
      <c r="AA43" s="126"/>
      <c r="AB43" s="126">
        <v>90</v>
      </c>
      <c r="AC43" s="126"/>
      <c r="AD43" s="126"/>
      <c r="AE43" s="126">
        <v>30</v>
      </c>
      <c r="AF43" s="126"/>
      <c r="AG43" s="126"/>
      <c r="AH43" s="126"/>
      <c r="AI43" s="126"/>
      <c r="AJ43" s="126"/>
      <c r="AK43" s="126">
        <v>30</v>
      </c>
      <c r="AL43" s="126"/>
      <c r="AM43" s="126"/>
      <c r="AN43" s="126"/>
      <c r="AO43" s="126"/>
      <c r="AP43" s="126"/>
      <c r="AQ43" s="126"/>
      <c r="AR43" s="126"/>
      <c r="AS43" s="126"/>
      <c r="AT43" s="125"/>
      <c r="AU43" s="125"/>
      <c r="AV43" s="125"/>
      <c r="AW43" s="125"/>
      <c r="AX43" s="125"/>
      <c r="AY43" s="125"/>
      <c r="AZ43" s="125"/>
      <c r="BA43" s="125"/>
      <c r="BB43" s="125" t="s">
        <v>32</v>
      </c>
      <c r="BC43" s="125"/>
      <c r="BD43" s="125"/>
      <c r="BE43" s="125"/>
      <c r="BF43" s="126">
        <v>2</v>
      </c>
      <c r="BG43" s="126"/>
      <c r="BH43" s="126"/>
      <c r="BI43" s="58"/>
      <c r="BJ43" s="59"/>
      <c r="BK43" s="60"/>
    </row>
    <row r="44" spans="1:63" ht="63" customHeight="1" x14ac:dyDescent="0.25">
      <c r="A44" s="56">
        <v>7</v>
      </c>
      <c r="B44" s="98" t="s">
        <v>187</v>
      </c>
      <c r="C44" s="98"/>
      <c r="D44" s="98"/>
      <c r="E44" s="98"/>
      <c r="F44" s="129" t="s">
        <v>267</v>
      </c>
      <c r="G44" s="129"/>
      <c r="H44" s="129"/>
      <c r="I44" s="129"/>
      <c r="J44" s="129"/>
      <c r="K44" s="129"/>
      <c r="L44" s="129"/>
      <c r="M44" s="129"/>
      <c r="N44" s="129"/>
      <c r="O44" s="129"/>
      <c r="P44" s="129"/>
      <c r="Q44" s="129"/>
      <c r="R44" s="129"/>
      <c r="S44" s="129"/>
      <c r="T44" s="129"/>
      <c r="U44" s="129"/>
      <c r="V44" s="98">
        <v>3</v>
      </c>
      <c r="W44" s="98"/>
      <c r="X44" s="98"/>
      <c r="Y44" s="98">
        <v>90</v>
      </c>
      <c r="Z44" s="98"/>
      <c r="AA44" s="98"/>
      <c r="AB44" s="98">
        <v>60</v>
      </c>
      <c r="AC44" s="98"/>
      <c r="AD44" s="98"/>
      <c r="AE44" s="98">
        <v>30</v>
      </c>
      <c r="AF44" s="98"/>
      <c r="AG44" s="98"/>
      <c r="AH44" s="98">
        <v>15</v>
      </c>
      <c r="AI44" s="98"/>
      <c r="AJ44" s="98"/>
      <c r="AK44" s="98">
        <v>15</v>
      </c>
      <c r="AL44" s="98"/>
      <c r="AM44" s="98"/>
      <c r="AN44" s="98"/>
      <c r="AO44" s="98"/>
      <c r="AP44" s="98"/>
      <c r="AQ44" s="98"/>
      <c r="AR44" s="98"/>
      <c r="AS44" s="98"/>
      <c r="AT44" s="98"/>
      <c r="AU44" s="98"/>
      <c r="AV44" s="98"/>
      <c r="AW44" s="98"/>
      <c r="AX44" s="98"/>
      <c r="AY44" s="98"/>
      <c r="AZ44" s="98"/>
      <c r="BA44" s="98"/>
      <c r="BB44" s="100" t="s">
        <v>30</v>
      </c>
      <c r="BC44" s="100"/>
      <c r="BD44" s="100"/>
      <c r="BE44" s="100"/>
      <c r="BF44" s="98">
        <v>2</v>
      </c>
      <c r="BG44" s="98"/>
      <c r="BH44" s="98"/>
      <c r="BI44" s="23"/>
    </row>
    <row r="45" spans="1:63" ht="83.25" customHeight="1" thickBot="1" x14ac:dyDescent="0.3">
      <c r="A45" s="56">
        <v>8</v>
      </c>
      <c r="B45" s="98" t="s">
        <v>188</v>
      </c>
      <c r="C45" s="98"/>
      <c r="D45" s="98"/>
      <c r="E45" s="98"/>
      <c r="F45" s="129" t="s">
        <v>268</v>
      </c>
      <c r="G45" s="129"/>
      <c r="H45" s="129"/>
      <c r="I45" s="129"/>
      <c r="J45" s="129"/>
      <c r="K45" s="129"/>
      <c r="L45" s="129"/>
      <c r="M45" s="129"/>
      <c r="N45" s="129"/>
      <c r="O45" s="129"/>
      <c r="P45" s="129"/>
      <c r="Q45" s="129"/>
      <c r="R45" s="129"/>
      <c r="S45" s="129"/>
      <c r="T45" s="129"/>
      <c r="U45" s="129"/>
      <c r="V45" s="98">
        <v>3</v>
      </c>
      <c r="W45" s="98"/>
      <c r="X45" s="98"/>
      <c r="Y45" s="98">
        <v>90</v>
      </c>
      <c r="Z45" s="98"/>
      <c r="AA45" s="98"/>
      <c r="AB45" s="98">
        <v>60</v>
      </c>
      <c r="AC45" s="98"/>
      <c r="AD45" s="98"/>
      <c r="AE45" s="98">
        <v>30</v>
      </c>
      <c r="AF45" s="98"/>
      <c r="AG45" s="98"/>
      <c r="AH45" s="98">
        <v>15</v>
      </c>
      <c r="AI45" s="98"/>
      <c r="AJ45" s="98"/>
      <c r="AK45" s="98">
        <v>15</v>
      </c>
      <c r="AL45" s="98"/>
      <c r="AM45" s="98"/>
      <c r="AN45" s="98"/>
      <c r="AO45" s="98"/>
      <c r="AP45" s="98"/>
      <c r="AQ45" s="98"/>
      <c r="AR45" s="98"/>
      <c r="AS45" s="98"/>
      <c r="AT45" s="98"/>
      <c r="AU45" s="98"/>
      <c r="AV45" s="98"/>
      <c r="AW45" s="98"/>
      <c r="AX45" s="98"/>
      <c r="AY45" s="98"/>
      <c r="AZ45" s="98"/>
      <c r="BA45" s="98"/>
      <c r="BB45" s="100" t="s">
        <v>35</v>
      </c>
      <c r="BC45" s="100"/>
      <c r="BD45" s="100"/>
      <c r="BE45" s="100"/>
      <c r="BF45" s="98">
        <v>2</v>
      </c>
      <c r="BG45" s="98"/>
      <c r="BH45" s="98"/>
      <c r="BI45" s="23"/>
    </row>
    <row r="46" spans="1:63" s="15" customFormat="1" ht="22.5" customHeight="1" thickBot="1" x14ac:dyDescent="0.3">
      <c r="A46" s="62"/>
      <c r="B46" s="119" t="s">
        <v>150</v>
      </c>
      <c r="C46" s="94"/>
      <c r="D46" s="94"/>
      <c r="E46" s="94"/>
      <c r="F46" s="130" t="s">
        <v>149</v>
      </c>
      <c r="G46" s="130"/>
      <c r="H46" s="130"/>
      <c r="I46" s="130"/>
      <c r="J46" s="130"/>
      <c r="K46" s="130"/>
      <c r="L46" s="130"/>
      <c r="M46" s="130"/>
      <c r="N46" s="130"/>
      <c r="O46" s="130"/>
      <c r="P46" s="130"/>
      <c r="Q46" s="130"/>
      <c r="R46" s="130"/>
      <c r="S46" s="130"/>
      <c r="T46" s="130"/>
      <c r="U46" s="130"/>
      <c r="V46" s="94">
        <f>V47+V48+V49+V50+V51+V52+V53+V54+V55+V56+V57+V58+V59+V60+V61+V62+V63+V64+V65+V66+V67+V68+V69</f>
        <v>120</v>
      </c>
      <c r="W46" s="94"/>
      <c r="X46" s="94"/>
      <c r="Y46" s="94">
        <f>Y47+Y48+Y49+Y50+Y51+Y52+Y53+Y54+Y55+Y56+Y57+Y58+Y59+Y60+Y61+Y62+Y63+Y64+Y65+Y66+Y67+Y68+Y69</f>
        <v>3600</v>
      </c>
      <c r="Z46" s="94"/>
      <c r="AA46" s="94"/>
      <c r="AB46" s="94">
        <f>AB47+AB48+AB49+AB50+AB51+AB52+AB53+AB54+AB55+AB56+AB57+AB58+AB59+AB60+AB61+AB62+AB63+AB64+AB65+AB66+AB67+AB68+AB69</f>
        <v>2280</v>
      </c>
      <c r="AC46" s="94"/>
      <c r="AD46" s="94"/>
      <c r="AE46" s="94">
        <f>AE47+AE48+AE49+AE50+AE51+AE52+AE53+AE54+AE55+AE56+AE57+AE58+AE59+AE60+AE61+AE62+AE63+AE64+AE65+AE66+AE67+AE68+AE69</f>
        <v>1320</v>
      </c>
      <c r="AF46" s="94"/>
      <c r="AG46" s="94"/>
      <c r="AH46" s="94">
        <f>AH47+AH48+AH49+AH50+AH51+AH52+AH53+AH54+AH55+AH56+AH57+AH58+AH59+AH60+AH61+AH62+AH63+AH64+AH65+AH66+AH67+AH68+AH69</f>
        <v>690</v>
      </c>
      <c r="AI46" s="94"/>
      <c r="AJ46" s="94"/>
      <c r="AK46" s="94">
        <f>AK47+AK48+AK49+AK50+AK51+AK52+AK53+AK54+AK55+AK56+AK57+AK58+AK59+AK60+AK61+AK62+AK63+AK64+AK65+AK66+AK67+AK68+AK69</f>
        <v>510</v>
      </c>
      <c r="AL46" s="94"/>
      <c r="AM46" s="94"/>
      <c r="AN46" s="94">
        <f>AN47+AN48+AN49+AN50+AN51+AN52+AN53+AN54+AN55+AN56+AN57+AN58+AN59+AN60+AN61+AN62+AN63+AN64+AN65+AN66+AN67+AN68+AN69</f>
        <v>120</v>
      </c>
      <c r="AO46" s="94"/>
      <c r="AP46" s="94"/>
      <c r="AQ46" s="94">
        <f>AQ47+AQ48+AQ49+AQ50+AQ51+AQ52+AQ53+AQ54+AQ55+AQ56+AQ57+AQ58+AQ59+AQ60+AQ61+AQ62+AQ63+AQ64+AQ65+AQ66+AQ67+AQ68+AQ69</f>
        <v>0</v>
      </c>
      <c r="AR46" s="94"/>
      <c r="AS46" s="94"/>
      <c r="AT46" s="94"/>
      <c r="AU46" s="94"/>
      <c r="AV46" s="94"/>
      <c r="AW46" s="94"/>
      <c r="AX46" s="94"/>
      <c r="AY46" s="94"/>
      <c r="AZ46" s="94"/>
      <c r="BA46" s="94"/>
      <c r="BB46" s="121"/>
      <c r="BC46" s="121"/>
      <c r="BD46" s="121"/>
      <c r="BE46" s="121"/>
      <c r="BF46" s="133"/>
      <c r="BG46" s="133"/>
      <c r="BH46" s="134"/>
      <c r="BI46" s="23"/>
      <c r="BJ46" s="23"/>
      <c r="BK46" s="23"/>
    </row>
    <row r="47" spans="1:63" ht="22.5" customHeight="1" x14ac:dyDescent="0.25">
      <c r="A47" s="55">
        <v>9</v>
      </c>
      <c r="B47" s="96" t="s">
        <v>151</v>
      </c>
      <c r="C47" s="96"/>
      <c r="D47" s="96"/>
      <c r="E47" s="96"/>
      <c r="F47" s="103" t="s">
        <v>194</v>
      </c>
      <c r="G47" s="103"/>
      <c r="H47" s="103"/>
      <c r="I47" s="103"/>
      <c r="J47" s="103"/>
      <c r="K47" s="103"/>
      <c r="L47" s="103"/>
      <c r="M47" s="103"/>
      <c r="N47" s="103"/>
      <c r="O47" s="103"/>
      <c r="P47" s="103"/>
      <c r="Q47" s="103"/>
      <c r="R47" s="103"/>
      <c r="S47" s="103"/>
      <c r="T47" s="103"/>
      <c r="U47" s="103"/>
      <c r="V47" s="96">
        <v>4</v>
      </c>
      <c r="W47" s="96"/>
      <c r="X47" s="96"/>
      <c r="Y47" s="96">
        <v>120</v>
      </c>
      <c r="Z47" s="96"/>
      <c r="AA47" s="96"/>
      <c r="AB47" s="96">
        <v>75</v>
      </c>
      <c r="AC47" s="96"/>
      <c r="AD47" s="96"/>
      <c r="AE47" s="96">
        <v>45</v>
      </c>
      <c r="AF47" s="96"/>
      <c r="AG47" s="96"/>
      <c r="AH47" s="96">
        <v>30</v>
      </c>
      <c r="AI47" s="96"/>
      <c r="AJ47" s="96"/>
      <c r="AK47" s="96">
        <v>15</v>
      </c>
      <c r="AL47" s="96"/>
      <c r="AM47" s="96"/>
      <c r="AN47" s="96"/>
      <c r="AO47" s="96"/>
      <c r="AP47" s="96"/>
      <c r="AQ47" s="96"/>
      <c r="AR47" s="96"/>
      <c r="AS47" s="96"/>
      <c r="AT47" s="104"/>
      <c r="AU47" s="104"/>
      <c r="AV47" s="104"/>
      <c r="AW47" s="104"/>
      <c r="AX47" s="104"/>
      <c r="AY47" s="104"/>
      <c r="AZ47" s="104"/>
      <c r="BA47" s="104"/>
      <c r="BB47" s="105" t="s">
        <v>30</v>
      </c>
      <c r="BC47" s="105"/>
      <c r="BD47" s="105"/>
      <c r="BE47" s="105"/>
      <c r="BF47" s="96">
        <v>3</v>
      </c>
      <c r="BG47" s="96"/>
      <c r="BH47" s="96"/>
      <c r="BI47" s="23"/>
    </row>
    <row r="48" spans="1:63" s="17" customFormat="1" ht="22.5" customHeight="1" x14ac:dyDescent="0.25">
      <c r="A48" s="63">
        <v>10</v>
      </c>
      <c r="B48" s="131" t="s">
        <v>152</v>
      </c>
      <c r="C48" s="131"/>
      <c r="D48" s="131"/>
      <c r="E48" s="131"/>
      <c r="F48" s="173" t="s">
        <v>195</v>
      </c>
      <c r="G48" s="173"/>
      <c r="H48" s="173"/>
      <c r="I48" s="173"/>
      <c r="J48" s="173"/>
      <c r="K48" s="173"/>
      <c r="L48" s="173"/>
      <c r="M48" s="173"/>
      <c r="N48" s="173"/>
      <c r="O48" s="173"/>
      <c r="P48" s="173"/>
      <c r="Q48" s="173"/>
      <c r="R48" s="173"/>
      <c r="S48" s="173"/>
      <c r="T48" s="173"/>
      <c r="U48" s="173"/>
      <c r="V48" s="131">
        <v>8</v>
      </c>
      <c r="W48" s="131"/>
      <c r="X48" s="131"/>
      <c r="Y48" s="131">
        <v>240</v>
      </c>
      <c r="Z48" s="131"/>
      <c r="AA48" s="131"/>
      <c r="AB48" s="131">
        <v>180</v>
      </c>
      <c r="AC48" s="131"/>
      <c r="AD48" s="131"/>
      <c r="AE48" s="131">
        <v>60</v>
      </c>
      <c r="AF48" s="131"/>
      <c r="AG48" s="131"/>
      <c r="AH48" s="131">
        <v>30</v>
      </c>
      <c r="AI48" s="131"/>
      <c r="AJ48" s="131"/>
      <c r="AK48" s="131">
        <v>30</v>
      </c>
      <c r="AL48" s="131"/>
      <c r="AM48" s="131"/>
      <c r="AN48" s="131"/>
      <c r="AO48" s="131"/>
      <c r="AP48" s="131"/>
      <c r="AQ48" s="131"/>
      <c r="AR48" s="131"/>
      <c r="AS48" s="131"/>
      <c r="AT48" s="178"/>
      <c r="AU48" s="178"/>
      <c r="AV48" s="178"/>
      <c r="AW48" s="178"/>
      <c r="AX48" s="178"/>
      <c r="AY48" s="178"/>
      <c r="AZ48" s="178"/>
      <c r="BA48" s="178"/>
      <c r="BB48" s="179" t="s">
        <v>32</v>
      </c>
      <c r="BC48" s="179"/>
      <c r="BD48" s="179"/>
      <c r="BE48" s="179"/>
      <c r="BF48" s="131">
        <v>4</v>
      </c>
      <c r="BG48" s="131"/>
      <c r="BH48" s="131"/>
      <c r="BI48" s="58"/>
      <c r="BJ48" s="59"/>
      <c r="BK48" s="60" t="s">
        <v>229</v>
      </c>
    </row>
    <row r="49" spans="1:64" s="17" customFormat="1" ht="22.5" customHeight="1" x14ac:dyDescent="0.3">
      <c r="A49" s="55">
        <v>11</v>
      </c>
      <c r="B49" s="96" t="s">
        <v>153</v>
      </c>
      <c r="C49" s="96"/>
      <c r="D49" s="96"/>
      <c r="E49" s="96"/>
      <c r="F49" s="103" t="s">
        <v>197</v>
      </c>
      <c r="G49" s="103"/>
      <c r="H49" s="103"/>
      <c r="I49" s="103"/>
      <c r="J49" s="103"/>
      <c r="K49" s="103"/>
      <c r="L49" s="103"/>
      <c r="M49" s="103"/>
      <c r="N49" s="103"/>
      <c r="O49" s="103"/>
      <c r="P49" s="103"/>
      <c r="Q49" s="103"/>
      <c r="R49" s="103"/>
      <c r="S49" s="103"/>
      <c r="T49" s="103"/>
      <c r="U49" s="103"/>
      <c r="V49" s="96">
        <v>4</v>
      </c>
      <c r="W49" s="96"/>
      <c r="X49" s="96"/>
      <c r="Y49" s="96">
        <v>120</v>
      </c>
      <c r="Z49" s="96"/>
      <c r="AA49" s="96"/>
      <c r="AB49" s="96">
        <v>75</v>
      </c>
      <c r="AC49" s="96"/>
      <c r="AD49" s="96"/>
      <c r="AE49" s="96">
        <v>45</v>
      </c>
      <c r="AF49" s="96"/>
      <c r="AG49" s="96"/>
      <c r="AH49" s="96">
        <v>30</v>
      </c>
      <c r="AI49" s="96"/>
      <c r="AJ49" s="96"/>
      <c r="AK49" s="96">
        <v>15</v>
      </c>
      <c r="AL49" s="96"/>
      <c r="AM49" s="96"/>
      <c r="AN49" s="96"/>
      <c r="AO49" s="96"/>
      <c r="AP49" s="96"/>
      <c r="AQ49" s="96"/>
      <c r="AR49" s="96"/>
      <c r="AS49" s="96"/>
      <c r="AT49" s="104"/>
      <c r="AU49" s="104"/>
      <c r="AV49" s="104"/>
      <c r="AW49" s="104"/>
      <c r="AX49" s="104"/>
      <c r="AY49" s="104"/>
      <c r="AZ49" s="104"/>
      <c r="BA49" s="104"/>
      <c r="BB49" s="105" t="s">
        <v>34</v>
      </c>
      <c r="BC49" s="105"/>
      <c r="BD49" s="105"/>
      <c r="BE49" s="105"/>
      <c r="BF49" s="96">
        <v>3</v>
      </c>
      <c r="BG49" s="96"/>
      <c r="BH49" s="96"/>
      <c r="BI49" s="64"/>
      <c r="BJ49" s="65"/>
      <c r="BK49" s="66"/>
      <c r="BL49" s="22"/>
    </row>
    <row r="50" spans="1:64" ht="22.5" customHeight="1" x14ac:dyDescent="0.25">
      <c r="A50" s="55">
        <v>12</v>
      </c>
      <c r="B50" s="96" t="s">
        <v>154</v>
      </c>
      <c r="C50" s="96"/>
      <c r="D50" s="96"/>
      <c r="E50" s="96"/>
      <c r="F50" s="99" t="s">
        <v>77</v>
      </c>
      <c r="G50" s="99"/>
      <c r="H50" s="99"/>
      <c r="I50" s="99"/>
      <c r="J50" s="99"/>
      <c r="K50" s="99"/>
      <c r="L50" s="99"/>
      <c r="M50" s="99"/>
      <c r="N50" s="99"/>
      <c r="O50" s="99"/>
      <c r="P50" s="99"/>
      <c r="Q50" s="99"/>
      <c r="R50" s="99"/>
      <c r="S50" s="99"/>
      <c r="T50" s="99"/>
      <c r="U50" s="99"/>
      <c r="V50" s="98">
        <v>6</v>
      </c>
      <c r="W50" s="98"/>
      <c r="X50" s="98"/>
      <c r="Y50" s="98">
        <v>180</v>
      </c>
      <c r="Z50" s="98"/>
      <c r="AA50" s="98"/>
      <c r="AB50" s="98">
        <v>120</v>
      </c>
      <c r="AC50" s="98"/>
      <c r="AD50" s="98"/>
      <c r="AE50" s="98">
        <v>60</v>
      </c>
      <c r="AF50" s="98"/>
      <c r="AG50" s="98"/>
      <c r="AH50" s="98">
        <v>30</v>
      </c>
      <c r="AI50" s="98"/>
      <c r="AJ50" s="98"/>
      <c r="AK50" s="98">
        <v>15</v>
      </c>
      <c r="AL50" s="98"/>
      <c r="AM50" s="98"/>
      <c r="AN50" s="98">
        <v>15</v>
      </c>
      <c r="AO50" s="98"/>
      <c r="AP50" s="98"/>
      <c r="AQ50" s="98"/>
      <c r="AR50" s="98"/>
      <c r="AS50" s="98"/>
      <c r="AT50" s="109"/>
      <c r="AU50" s="109"/>
      <c r="AV50" s="109"/>
      <c r="AW50" s="109"/>
      <c r="AX50" s="109"/>
      <c r="AY50" s="109"/>
      <c r="AZ50" s="109"/>
      <c r="BA50" s="109"/>
      <c r="BB50" s="100" t="s">
        <v>30</v>
      </c>
      <c r="BC50" s="100"/>
      <c r="BD50" s="100"/>
      <c r="BE50" s="100"/>
      <c r="BF50" s="98">
        <v>4</v>
      </c>
      <c r="BG50" s="98"/>
      <c r="BH50" s="98"/>
      <c r="BI50" s="23"/>
    </row>
    <row r="51" spans="1:64" s="17" customFormat="1" ht="22.5" customHeight="1" x14ac:dyDescent="0.25">
      <c r="A51" s="63">
        <v>13</v>
      </c>
      <c r="B51" s="131" t="s">
        <v>155</v>
      </c>
      <c r="C51" s="131"/>
      <c r="D51" s="131"/>
      <c r="E51" s="131"/>
      <c r="F51" s="172" t="s">
        <v>78</v>
      </c>
      <c r="G51" s="172"/>
      <c r="H51" s="172"/>
      <c r="I51" s="172"/>
      <c r="J51" s="172"/>
      <c r="K51" s="172"/>
      <c r="L51" s="172"/>
      <c r="M51" s="172"/>
      <c r="N51" s="172"/>
      <c r="O51" s="172"/>
      <c r="P51" s="172"/>
      <c r="Q51" s="172"/>
      <c r="R51" s="172"/>
      <c r="S51" s="172"/>
      <c r="T51" s="172"/>
      <c r="U51" s="172"/>
      <c r="V51" s="124">
        <v>3</v>
      </c>
      <c r="W51" s="124"/>
      <c r="X51" s="124"/>
      <c r="Y51" s="124">
        <v>90</v>
      </c>
      <c r="Z51" s="124"/>
      <c r="AA51" s="124"/>
      <c r="AB51" s="124">
        <v>60</v>
      </c>
      <c r="AC51" s="124"/>
      <c r="AD51" s="124"/>
      <c r="AE51" s="124">
        <v>30</v>
      </c>
      <c r="AF51" s="124"/>
      <c r="AG51" s="124"/>
      <c r="AH51" s="124">
        <v>15</v>
      </c>
      <c r="AI51" s="124"/>
      <c r="AJ51" s="124"/>
      <c r="AK51" s="124"/>
      <c r="AL51" s="124"/>
      <c r="AM51" s="124"/>
      <c r="AN51" s="124">
        <v>15</v>
      </c>
      <c r="AO51" s="124"/>
      <c r="AP51" s="124"/>
      <c r="AQ51" s="124"/>
      <c r="AR51" s="124"/>
      <c r="AS51" s="124"/>
      <c r="AT51" s="175"/>
      <c r="AU51" s="175"/>
      <c r="AV51" s="175"/>
      <c r="AW51" s="175"/>
      <c r="AX51" s="175"/>
      <c r="AY51" s="175"/>
      <c r="AZ51" s="175"/>
      <c r="BA51" s="175"/>
      <c r="BB51" s="174" t="s">
        <v>32</v>
      </c>
      <c r="BC51" s="123"/>
      <c r="BD51" s="123"/>
      <c r="BE51" s="123"/>
      <c r="BF51" s="124">
        <v>2</v>
      </c>
      <c r="BG51" s="124"/>
      <c r="BH51" s="124"/>
      <c r="BI51" s="58"/>
      <c r="BJ51" s="59"/>
      <c r="BK51" s="60"/>
    </row>
    <row r="52" spans="1:64" ht="22.5" customHeight="1" x14ac:dyDescent="0.25">
      <c r="A52" s="55">
        <v>14</v>
      </c>
      <c r="B52" s="96" t="s">
        <v>156</v>
      </c>
      <c r="C52" s="96"/>
      <c r="D52" s="96"/>
      <c r="E52" s="96"/>
      <c r="F52" s="99" t="s">
        <v>130</v>
      </c>
      <c r="G52" s="99"/>
      <c r="H52" s="99"/>
      <c r="I52" s="99"/>
      <c r="J52" s="99"/>
      <c r="K52" s="99"/>
      <c r="L52" s="99"/>
      <c r="M52" s="99"/>
      <c r="N52" s="99"/>
      <c r="O52" s="99"/>
      <c r="P52" s="99"/>
      <c r="Q52" s="99"/>
      <c r="R52" s="99"/>
      <c r="S52" s="99"/>
      <c r="T52" s="99"/>
      <c r="U52" s="99"/>
      <c r="V52" s="98">
        <v>6</v>
      </c>
      <c r="W52" s="98"/>
      <c r="X52" s="98"/>
      <c r="Y52" s="98">
        <v>180</v>
      </c>
      <c r="Z52" s="98"/>
      <c r="AA52" s="98"/>
      <c r="AB52" s="98">
        <v>120</v>
      </c>
      <c r="AC52" s="98"/>
      <c r="AD52" s="98"/>
      <c r="AE52" s="98">
        <v>60</v>
      </c>
      <c r="AF52" s="98"/>
      <c r="AG52" s="98"/>
      <c r="AH52" s="98">
        <v>30</v>
      </c>
      <c r="AI52" s="98"/>
      <c r="AJ52" s="98"/>
      <c r="AK52" s="98">
        <v>30</v>
      </c>
      <c r="AL52" s="98"/>
      <c r="AM52" s="98"/>
      <c r="AN52" s="98"/>
      <c r="AO52" s="98"/>
      <c r="AP52" s="98"/>
      <c r="AQ52" s="98"/>
      <c r="AR52" s="98"/>
      <c r="AS52" s="98"/>
      <c r="AT52" s="109"/>
      <c r="AU52" s="109"/>
      <c r="AV52" s="109"/>
      <c r="AW52" s="109"/>
      <c r="AX52" s="109"/>
      <c r="AY52" s="109"/>
      <c r="AZ52" s="109"/>
      <c r="BA52" s="109"/>
      <c r="BB52" s="100" t="s">
        <v>30</v>
      </c>
      <c r="BC52" s="100"/>
      <c r="BD52" s="100"/>
      <c r="BE52" s="100"/>
      <c r="BF52" s="98">
        <v>4</v>
      </c>
      <c r="BG52" s="98"/>
      <c r="BH52" s="98"/>
      <c r="BI52" s="23"/>
    </row>
    <row r="53" spans="1:64" ht="22.5" customHeight="1" x14ac:dyDescent="0.25">
      <c r="A53" s="55">
        <v>15</v>
      </c>
      <c r="B53" s="96" t="s">
        <v>157</v>
      </c>
      <c r="C53" s="96"/>
      <c r="D53" s="96"/>
      <c r="E53" s="96"/>
      <c r="F53" s="99" t="s">
        <v>98</v>
      </c>
      <c r="G53" s="99"/>
      <c r="H53" s="99"/>
      <c r="I53" s="99"/>
      <c r="J53" s="99"/>
      <c r="K53" s="99"/>
      <c r="L53" s="99"/>
      <c r="M53" s="99"/>
      <c r="N53" s="99"/>
      <c r="O53" s="99"/>
      <c r="P53" s="99"/>
      <c r="Q53" s="99"/>
      <c r="R53" s="99"/>
      <c r="S53" s="99"/>
      <c r="T53" s="99"/>
      <c r="U53" s="99"/>
      <c r="V53" s="98">
        <v>7</v>
      </c>
      <c r="W53" s="98"/>
      <c r="X53" s="98"/>
      <c r="Y53" s="98">
        <v>210</v>
      </c>
      <c r="Z53" s="98"/>
      <c r="AA53" s="98"/>
      <c r="AB53" s="98">
        <v>135</v>
      </c>
      <c r="AC53" s="98"/>
      <c r="AD53" s="98"/>
      <c r="AE53" s="98">
        <v>75</v>
      </c>
      <c r="AF53" s="98"/>
      <c r="AG53" s="98"/>
      <c r="AH53" s="98">
        <v>45</v>
      </c>
      <c r="AI53" s="98"/>
      <c r="AJ53" s="98"/>
      <c r="AK53" s="98">
        <v>30</v>
      </c>
      <c r="AL53" s="98"/>
      <c r="AM53" s="98"/>
      <c r="AN53" s="98"/>
      <c r="AO53" s="98"/>
      <c r="AP53" s="98"/>
      <c r="AQ53" s="98"/>
      <c r="AR53" s="98"/>
      <c r="AS53" s="98"/>
      <c r="AT53" s="109"/>
      <c r="AU53" s="109"/>
      <c r="AV53" s="109"/>
      <c r="AW53" s="109"/>
      <c r="AX53" s="109"/>
      <c r="AY53" s="109"/>
      <c r="AZ53" s="109"/>
      <c r="BA53" s="109"/>
      <c r="BB53" s="100" t="s">
        <v>35</v>
      </c>
      <c r="BC53" s="100"/>
      <c r="BD53" s="100"/>
      <c r="BE53" s="100"/>
      <c r="BF53" s="98">
        <v>5</v>
      </c>
      <c r="BG53" s="98"/>
      <c r="BH53" s="98"/>
      <c r="BI53" s="23"/>
    </row>
    <row r="54" spans="1:64" ht="22.5" customHeight="1" x14ac:dyDescent="0.25">
      <c r="A54" s="55">
        <v>16</v>
      </c>
      <c r="B54" s="96" t="s">
        <v>158</v>
      </c>
      <c r="C54" s="96"/>
      <c r="D54" s="96"/>
      <c r="E54" s="96"/>
      <c r="F54" s="99" t="s">
        <v>79</v>
      </c>
      <c r="G54" s="99"/>
      <c r="H54" s="99"/>
      <c r="I54" s="99"/>
      <c r="J54" s="99"/>
      <c r="K54" s="99"/>
      <c r="L54" s="99"/>
      <c r="M54" s="99"/>
      <c r="N54" s="99"/>
      <c r="O54" s="99"/>
      <c r="P54" s="99"/>
      <c r="Q54" s="99"/>
      <c r="R54" s="99"/>
      <c r="S54" s="99"/>
      <c r="T54" s="99"/>
      <c r="U54" s="99"/>
      <c r="V54" s="98">
        <v>5</v>
      </c>
      <c r="W54" s="98"/>
      <c r="X54" s="98"/>
      <c r="Y54" s="98">
        <v>150</v>
      </c>
      <c r="Z54" s="98"/>
      <c r="AA54" s="98"/>
      <c r="AB54" s="98">
        <v>105</v>
      </c>
      <c r="AC54" s="98"/>
      <c r="AD54" s="98"/>
      <c r="AE54" s="98">
        <v>45</v>
      </c>
      <c r="AF54" s="98"/>
      <c r="AG54" s="98"/>
      <c r="AH54" s="98">
        <v>30</v>
      </c>
      <c r="AI54" s="98"/>
      <c r="AJ54" s="98"/>
      <c r="AK54" s="98">
        <v>15</v>
      </c>
      <c r="AL54" s="98"/>
      <c r="AM54" s="98"/>
      <c r="AN54" s="98"/>
      <c r="AO54" s="98"/>
      <c r="AP54" s="98"/>
      <c r="AQ54" s="98"/>
      <c r="AR54" s="98"/>
      <c r="AS54" s="98"/>
      <c r="AT54" s="98"/>
      <c r="AU54" s="98"/>
      <c r="AV54" s="98"/>
      <c r="AW54" s="98"/>
      <c r="AX54" s="98"/>
      <c r="AY54" s="98"/>
      <c r="AZ54" s="98"/>
      <c r="BA54" s="98"/>
      <c r="BB54" s="100" t="s">
        <v>34</v>
      </c>
      <c r="BC54" s="100"/>
      <c r="BD54" s="100"/>
      <c r="BE54" s="100"/>
      <c r="BF54" s="98">
        <v>3</v>
      </c>
      <c r="BG54" s="98"/>
      <c r="BH54" s="98"/>
      <c r="BI54" s="23"/>
    </row>
    <row r="55" spans="1:64" ht="22.5" customHeight="1" x14ac:dyDescent="0.25">
      <c r="A55" s="55">
        <v>17</v>
      </c>
      <c r="B55" s="96" t="s">
        <v>159</v>
      </c>
      <c r="C55" s="96"/>
      <c r="D55" s="96"/>
      <c r="E55" s="96"/>
      <c r="F55" s="99" t="s">
        <v>97</v>
      </c>
      <c r="G55" s="99"/>
      <c r="H55" s="99"/>
      <c r="I55" s="99"/>
      <c r="J55" s="99"/>
      <c r="K55" s="99"/>
      <c r="L55" s="99"/>
      <c r="M55" s="99"/>
      <c r="N55" s="99"/>
      <c r="O55" s="99"/>
      <c r="P55" s="99"/>
      <c r="Q55" s="99"/>
      <c r="R55" s="99"/>
      <c r="S55" s="99"/>
      <c r="T55" s="99"/>
      <c r="U55" s="99"/>
      <c r="V55" s="98">
        <v>3</v>
      </c>
      <c r="W55" s="98"/>
      <c r="X55" s="98"/>
      <c r="Y55" s="98">
        <v>90</v>
      </c>
      <c r="Z55" s="98"/>
      <c r="AA55" s="98"/>
      <c r="AB55" s="98">
        <v>60</v>
      </c>
      <c r="AC55" s="98"/>
      <c r="AD55" s="98"/>
      <c r="AE55" s="98">
        <v>30</v>
      </c>
      <c r="AF55" s="98"/>
      <c r="AG55" s="98"/>
      <c r="AH55" s="98">
        <v>15</v>
      </c>
      <c r="AI55" s="98"/>
      <c r="AJ55" s="98"/>
      <c r="AK55" s="98">
        <v>15</v>
      </c>
      <c r="AL55" s="98"/>
      <c r="AM55" s="98"/>
      <c r="AN55" s="98"/>
      <c r="AO55" s="98"/>
      <c r="AP55" s="98"/>
      <c r="AQ55" s="98"/>
      <c r="AR55" s="98"/>
      <c r="AS55" s="98"/>
      <c r="AT55" s="109"/>
      <c r="AU55" s="109"/>
      <c r="AV55" s="109"/>
      <c r="AW55" s="109"/>
      <c r="AX55" s="109"/>
      <c r="AY55" s="109"/>
      <c r="AZ55" s="109"/>
      <c r="BA55" s="109"/>
      <c r="BB55" s="100" t="s">
        <v>30</v>
      </c>
      <c r="BC55" s="100"/>
      <c r="BD55" s="100"/>
      <c r="BE55" s="100"/>
      <c r="BF55" s="98">
        <v>3</v>
      </c>
      <c r="BG55" s="98"/>
      <c r="BH55" s="98"/>
      <c r="BI55" s="23"/>
    </row>
    <row r="56" spans="1:64" ht="22.5" customHeight="1" x14ac:dyDescent="0.25">
      <c r="A56" s="55">
        <v>18</v>
      </c>
      <c r="B56" s="96" t="s">
        <v>160</v>
      </c>
      <c r="C56" s="96"/>
      <c r="D56" s="96"/>
      <c r="E56" s="96"/>
      <c r="F56" s="101" t="s">
        <v>127</v>
      </c>
      <c r="G56" s="101"/>
      <c r="H56" s="101"/>
      <c r="I56" s="101"/>
      <c r="J56" s="101"/>
      <c r="K56" s="101"/>
      <c r="L56" s="101"/>
      <c r="M56" s="101"/>
      <c r="N56" s="101"/>
      <c r="O56" s="101"/>
      <c r="P56" s="101"/>
      <c r="Q56" s="101"/>
      <c r="R56" s="101"/>
      <c r="S56" s="101"/>
      <c r="T56" s="101"/>
      <c r="U56" s="101"/>
      <c r="V56" s="98">
        <v>6</v>
      </c>
      <c r="W56" s="98"/>
      <c r="X56" s="98"/>
      <c r="Y56" s="98">
        <v>180</v>
      </c>
      <c r="Z56" s="98"/>
      <c r="AA56" s="98"/>
      <c r="AB56" s="98">
        <v>120</v>
      </c>
      <c r="AC56" s="98"/>
      <c r="AD56" s="98"/>
      <c r="AE56" s="98">
        <v>60</v>
      </c>
      <c r="AF56" s="98"/>
      <c r="AG56" s="98"/>
      <c r="AH56" s="98">
        <v>45</v>
      </c>
      <c r="AI56" s="98"/>
      <c r="AJ56" s="98"/>
      <c r="AK56" s="98">
        <v>15</v>
      </c>
      <c r="AL56" s="98"/>
      <c r="AM56" s="98"/>
      <c r="AN56" s="98"/>
      <c r="AO56" s="98"/>
      <c r="AP56" s="98"/>
      <c r="AQ56" s="98"/>
      <c r="AR56" s="98"/>
      <c r="AS56" s="98"/>
      <c r="AT56" s="98"/>
      <c r="AU56" s="98"/>
      <c r="AV56" s="98"/>
      <c r="AW56" s="98"/>
      <c r="AX56" s="98"/>
      <c r="AY56" s="98"/>
      <c r="AZ56" s="98"/>
      <c r="BA56" s="98"/>
      <c r="BB56" s="100" t="s">
        <v>34</v>
      </c>
      <c r="BC56" s="100"/>
      <c r="BD56" s="100"/>
      <c r="BE56" s="100"/>
      <c r="BF56" s="98">
        <v>4</v>
      </c>
      <c r="BG56" s="98"/>
      <c r="BH56" s="98"/>
      <c r="BI56" s="23"/>
    </row>
    <row r="57" spans="1:64" ht="22.5" customHeight="1" x14ac:dyDescent="0.25">
      <c r="A57" s="55">
        <v>19</v>
      </c>
      <c r="B57" s="96" t="s">
        <v>161</v>
      </c>
      <c r="C57" s="96"/>
      <c r="D57" s="96"/>
      <c r="E57" s="96"/>
      <c r="F57" s="99" t="s">
        <v>87</v>
      </c>
      <c r="G57" s="99"/>
      <c r="H57" s="99"/>
      <c r="I57" s="99"/>
      <c r="J57" s="99"/>
      <c r="K57" s="99"/>
      <c r="L57" s="99"/>
      <c r="M57" s="99"/>
      <c r="N57" s="99"/>
      <c r="O57" s="99"/>
      <c r="P57" s="99"/>
      <c r="Q57" s="99"/>
      <c r="R57" s="99"/>
      <c r="S57" s="99"/>
      <c r="T57" s="99"/>
      <c r="U57" s="99"/>
      <c r="V57" s="98">
        <v>5</v>
      </c>
      <c r="W57" s="98"/>
      <c r="X57" s="98"/>
      <c r="Y57" s="98">
        <v>150</v>
      </c>
      <c r="Z57" s="98"/>
      <c r="AA57" s="98"/>
      <c r="AB57" s="98">
        <v>105</v>
      </c>
      <c r="AC57" s="98"/>
      <c r="AD57" s="98"/>
      <c r="AE57" s="98">
        <v>45</v>
      </c>
      <c r="AF57" s="98"/>
      <c r="AG57" s="98"/>
      <c r="AH57" s="98">
        <v>30</v>
      </c>
      <c r="AI57" s="98"/>
      <c r="AJ57" s="98"/>
      <c r="AK57" s="98"/>
      <c r="AL57" s="98"/>
      <c r="AM57" s="98"/>
      <c r="AN57" s="98">
        <v>15</v>
      </c>
      <c r="AO57" s="98"/>
      <c r="AP57" s="98"/>
      <c r="AQ57" s="98"/>
      <c r="AR57" s="98"/>
      <c r="AS57" s="98"/>
      <c r="AT57" s="109"/>
      <c r="AU57" s="109"/>
      <c r="AV57" s="109"/>
      <c r="AW57" s="109"/>
      <c r="AX57" s="109"/>
      <c r="AY57" s="109"/>
      <c r="AZ57" s="109"/>
      <c r="BA57" s="109"/>
      <c r="BB57" s="100" t="s">
        <v>34</v>
      </c>
      <c r="BC57" s="100"/>
      <c r="BD57" s="100"/>
      <c r="BE57" s="100"/>
      <c r="BF57" s="98">
        <v>3</v>
      </c>
      <c r="BG57" s="98"/>
      <c r="BH57" s="98"/>
      <c r="BI57" s="23"/>
    </row>
    <row r="58" spans="1:64" ht="22.5" customHeight="1" x14ac:dyDescent="0.25">
      <c r="A58" s="55">
        <v>20</v>
      </c>
      <c r="B58" s="96" t="s">
        <v>162</v>
      </c>
      <c r="C58" s="96"/>
      <c r="D58" s="96"/>
      <c r="E58" s="96"/>
      <c r="F58" s="99" t="s">
        <v>221</v>
      </c>
      <c r="G58" s="99"/>
      <c r="H58" s="99"/>
      <c r="I58" s="99"/>
      <c r="J58" s="99"/>
      <c r="K58" s="99"/>
      <c r="L58" s="99"/>
      <c r="M58" s="99"/>
      <c r="N58" s="99"/>
      <c r="O58" s="99"/>
      <c r="P58" s="99"/>
      <c r="Q58" s="99"/>
      <c r="R58" s="99"/>
      <c r="S58" s="99"/>
      <c r="T58" s="99"/>
      <c r="U58" s="99"/>
      <c r="V58" s="98">
        <v>5</v>
      </c>
      <c r="W58" s="98"/>
      <c r="X58" s="98"/>
      <c r="Y58" s="98">
        <v>150</v>
      </c>
      <c r="Z58" s="98"/>
      <c r="AA58" s="98"/>
      <c r="AB58" s="98">
        <v>90</v>
      </c>
      <c r="AC58" s="98"/>
      <c r="AD58" s="98"/>
      <c r="AE58" s="98">
        <v>60</v>
      </c>
      <c r="AF58" s="98"/>
      <c r="AG58" s="98"/>
      <c r="AH58" s="98">
        <v>45</v>
      </c>
      <c r="AI58" s="98"/>
      <c r="AJ58" s="98"/>
      <c r="AK58" s="98"/>
      <c r="AL58" s="98"/>
      <c r="AM58" s="98"/>
      <c r="AN58" s="98">
        <v>15</v>
      </c>
      <c r="AO58" s="98"/>
      <c r="AP58" s="98"/>
      <c r="AQ58" s="98"/>
      <c r="AR58" s="98"/>
      <c r="AS58" s="98"/>
      <c r="AT58" s="109"/>
      <c r="AU58" s="109"/>
      <c r="AV58" s="109"/>
      <c r="AW58" s="109"/>
      <c r="AX58" s="109"/>
      <c r="AY58" s="109"/>
      <c r="AZ58" s="109"/>
      <c r="BA58" s="109"/>
      <c r="BB58" s="100" t="s">
        <v>74</v>
      </c>
      <c r="BC58" s="100"/>
      <c r="BD58" s="100"/>
      <c r="BE58" s="100"/>
      <c r="BF58" s="98">
        <v>4</v>
      </c>
      <c r="BG58" s="98"/>
      <c r="BH58" s="98"/>
      <c r="BI58" s="23"/>
    </row>
    <row r="59" spans="1:64" ht="22.5" customHeight="1" x14ac:dyDescent="0.25">
      <c r="A59" s="55">
        <v>21</v>
      </c>
      <c r="B59" s="96" t="s">
        <v>163</v>
      </c>
      <c r="C59" s="96"/>
      <c r="D59" s="96"/>
      <c r="E59" s="96"/>
      <c r="F59" s="99" t="s">
        <v>88</v>
      </c>
      <c r="G59" s="99"/>
      <c r="H59" s="99"/>
      <c r="I59" s="99"/>
      <c r="J59" s="99"/>
      <c r="K59" s="99"/>
      <c r="L59" s="99"/>
      <c r="M59" s="99"/>
      <c r="N59" s="99"/>
      <c r="O59" s="99"/>
      <c r="P59" s="99"/>
      <c r="Q59" s="99"/>
      <c r="R59" s="99"/>
      <c r="S59" s="99"/>
      <c r="T59" s="99"/>
      <c r="U59" s="99"/>
      <c r="V59" s="98">
        <v>4</v>
      </c>
      <c r="W59" s="98"/>
      <c r="X59" s="98"/>
      <c r="Y59" s="98">
        <v>120</v>
      </c>
      <c r="Z59" s="98"/>
      <c r="AA59" s="98"/>
      <c r="AB59" s="98">
        <v>75</v>
      </c>
      <c r="AC59" s="98"/>
      <c r="AD59" s="98"/>
      <c r="AE59" s="98">
        <v>45</v>
      </c>
      <c r="AF59" s="98"/>
      <c r="AG59" s="98"/>
      <c r="AH59" s="98">
        <v>30</v>
      </c>
      <c r="AI59" s="98"/>
      <c r="AJ59" s="98"/>
      <c r="AK59" s="98"/>
      <c r="AL59" s="98"/>
      <c r="AM59" s="98"/>
      <c r="AN59" s="98">
        <v>15</v>
      </c>
      <c r="AO59" s="98"/>
      <c r="AP59" s="98"/>
      <c r="AQ59" s="98"/>
      <c r="AR59" s="98"/>
      <c r="AS59" s="98"/>
      <c r="AT59" s="109"/>
      <c r="AU59" s="109"/>
      <c r="AV59" s="109"/>
      <c r="AW59" s="109"/>
      <c r="AX59" s="109"/>
      <c r="AY59" s="109"/>
      <c r="AZ59" s="109"/>
      <c r="BA59" s="109"/>
      <c r="BB59" s="100" t="s">
        <v>35</v>
      </c>
      <c r="BC59" s="100"/>
      <c r="BD59" s="100"/>
      <c r="BE59" s="100"/>
      <c r="BF59" s="98">
        <v>3</v>
      </c>
      <c r="BG59" s="98"/>
      <c r="BH59" s="98"/>
      <c r="BI59" s="23"/>
    </row>
    <row r="60" spans="1:64" s="18" customFormat="1" ht="22.5" customHeight="1" x14ac:dyDescent="0.25">
      <c r="A60" s="55">
        <v>22</v>
      </c>
      <c r="B60" s="96" t="s">
        <v>164</v>
      </c>
      <c r="C60" s="96"/>
      <c r="D60" s="96"/>
      <c r="E60" s="96"/>
      <c r="F60" s="101" t="s">
        <v>99</v>
      </c>
      <c r="G60" s="101"/>
      <c r="H60" s="101"/>
      <c r="I60" s="101"/>
      <c r="J60" s="101"/>
      <c r="K60" s="101"/>
      <c r="L60" s="101"/>
      <c r="M60" s="101"/>
      <c r="N60" s="101"/>
      <c r="O60" s="101"/>
      <c r="P60" s="101"/>
      <c r="Q60" s="101"/>
      <c r="R60" s="101"/>
      <c r="S60" s="101"/>
      <c r="T60" s="101"/>
      <c r="U60" s="101"/>
      <c r="V60" s="122">
        <v>7</v>
      </c>
      <c r="W60" s="122"/>
      <c r="X60" s="122"/>
      <c r="Y60" s="98">
        <v>210</v>
      </c>
      <c r="Z60" s="98"/>
      <c r="AA60" s="98"/>
      <c r="AB60" s="98">
        <v>105</v>
      </c>
      <c r="AC60" s="98"/>
      <c r="AD60" s="98"/>
      <c r="AE60" s="98">
        <v>105</v>
      </c>
      <c r="AF60" s="98"/>
      <c r="AG60" s="98"/>
      <c r="AH60" s="122">
        <v>60</v>
      </c>
      <c r="AI60" s="122"/>
      <c r="AJ60" s="122"/>
      <c r="AK60" s="122">
        <v>45</v>
      </c>
      <c r="AL60" s="122"/>
      <c r="AM60" s="122"/>
      <c r="AN60" s="122"/>
      <c r="AO60" s="122"/>
      <c r="AP60" s="122"/>
      <c r="AQ60" s="122"/>
      <c r="AR60" s="122"/>
      <c r="AS60" s="122"/>
      <c r="AT60" s="114"/>
      <c r="AU60" s="114"/>
      <c r="AV60" s="114"/>
      <c r="AW60" s="114"/>
      <c r="AX60" s="114"/>
      <c r="AY60" s="114"/>
      <c r="AZ60" s="114"/>
      <c r="BA60" s="114"/>
      <c r="BB60" s="132" t="s">
        <v>35</v>
      </c>
      <c r="BC60" s="132"/>
      <c r="BD60" s="132"/>
      <c r="BE60" s="132"/>
      <c r="BF60" s="122">
        <v>7</v>
      </c>
      <c r="BG60" s="122"/>
      <c r="BH60" s="122"/>
      <c r="BI60" s="67"/>
      <c r="BJ60" s="68">
        <v>15</v>
      </c>
      <c r="BK60" s="24" t="s">
        <v>227</v>
      </c>
    </row>
    <row r="61" spans="1:64" ht="22.5" customHeight="1" x14ac:dyDescent="0.35">
      <c r="A61" s="55">
        <v>23</v>
      </c>
      <c r="B61" s="96" t="s">
        <v>165</v>
      </c>
      <c r="C61" s="96"/>
      <c r="D61" s="96"/>
      <c r="E61" s="96"/>
      <c r="F61" s="99" t="s">
        <v>117</v>
      </c>
      <c r="G61" s="99"/>
      <c r="H61" s="99"/>
      <c r="I61" s="99"/>
      <c r="J61" s="99"/>
      <c r="K61" s="99"/>
      <c r="L61" s="99"/>
      <c r="M61" s="99"/>
      <c r="N61" s="99"/>
      <c r="O61" s="99"/>
      <c r="P61" s="99"/>
      <c r="Q61" s="99"/>
      <c r="R61" s="99"/>
      <c r="S61" s="99"/>
      <c r="T61" s="99"/>
      <c r="U61" s="99"/>
      <c r="V61" s="98">
        <v>5</v>
      </c>
      <c r="W61" s="136"/>
      <c r="X61" s="136"/>
      <c r="Y61" s="98">
        <v>150</v>
      </c>
      <c r="Z61" s="98"/>
      <c r="AA61" s="98"/>
      <c r="AB61" s="98">
        <v>105</v>
      </c>
      <c r="AC61" s="98"/>
      <c r="AD61" s="98"/>
      <c r="AE61" s="98">
        <v>45</v>
      </c>
      <c r="AF61" s="98"/>
      <c r="AG61" s="98"/>
      <c r="AH61" s="98">
        <v>30</v>
      </c>
      <c r="AI61" s="98"/>
      <c r="AJ61" s="98"/>
      <c r="AK61" s="98"/>
      <c r="AL61" s="98"/>
      <c r="AM61" s="98"/>
      <c r="AN61" s="98">
        <v>15</v>
      </c>
      <c r="AO61" s="98"/>
      <c r="AP61" s="98"/>
      <c r="AQ61" s="98"/>
      <c r="AR61" s="98"/>
      <c r="AS61" s="98"/>
      <c r="AT61" s="109"/>
      <c r="AU61" s="109"/>
      <c r="AV61" s="109"/>
      <c r="AW61" s="109"/>
      <c r="AX61" s="109"/>
      <c r="AY61" s="109"/>
      <c r="AZ61" s="109"/>
      <c r="BA61" s="109"/>
      <c r="BB61" s="100" t="s">
        <v>35</v>
      </c>
      <c r="BC61" s="100"/>
      <c r="BD61" s="100"/>
      <c r="BE61" s="100"/>
      <c r="BF61" s="98">
        <v>3</v>
      </c>
      <c r="BG61" s="98"/>
      <c r="BH61" s="98"/>
      <c r="BI61" s="23"/>
    </row>
    <row r="62" spans="1:64" ht="42.75" customHeight="1" x14ac:dyDescent="0.25">
      <c r="A62" s="55">
        <v>24</v>
      </c>
      <c r="B62" s="96" t="s">
        <v>166</v>
      </c>
      <c r="C62" s="96"/>
      <c r="D62" s="96"/>
      <c r="E62" s="96"/>
      <c r="F62" s="101" t="s">
        <v>134</v>
      </c>
      <c r="G62" s="101"/>
      <c r="H62" s="101"/>
      <c r="I62" s="101"/>
      <c r="J62" s="101"/>
      <c r="K62" s="101"/>
      <c r="L62" s="101"/>
      <c r="M62" s="101"/>
      <c r="N62" s="101"/>
      <c r="O62" s="101"/>
      <c r="P62" s="101"/>
      <c r="Q62" s="101"/>
      <c r="R62" s="101"/>
      <c r="S62" s="101"/>
      <c r="T62" s="101"/>
      <c r="U62" s="101"/>
      <c r="V62" s="98">
        <v>7</v>
      </c>
      <c r="W62" s="98"/>
      <c r="X62" s="98"/>
      <c r="Y62" s="98">
        <v>210</v>
      </c>
      <c r="Z62" s="98"/>
      <c r="AA62" s="98"/>
      <c r="AB62" s="98">
        <v>135</v>
      </c>
      <c r="AC62" s="98"/>
      <c r="AD62" s="98"/>
      <c r="AE62" s="98">
        <v>75</v>
      </c>
      <c r="AF62" s="98"/>
      <c r="AG62" s="98"/>
      <c r="AH62" s="98">
        <v>45</v>
      </c>
      <c r="AI62" s="98"/>
      <c r="AJ62" s="98"/>
      <c r="AK62" s="98"/>
      <c r="AL62" s="98"/>
      <c r="AM62" s="98"/>
      <c r="AN62" s="98">
        <v>30</v>
      </c>
      <c r="AO62" s="98"/>
      <c r="AP62" s="98"/>
      <c r="AQ62" s="98"/>
      <c r="AR62" s="98"/>
      <c r="AS62" s="98"/>
      <c r="AT62" s="98"/>
      <c r="AU62" s="98"/>
      <c r="AV62" s="98"/>
      <c r="AW62" s="98"/>
      <c r="AX62" s="98"/>
      <c r="AY62" s="98"/>
      <c r="AZ62" s="98"/>
      <c r="BA62" s="98"/>
      <c r="BB62" s="100" t="s">
        <v>74</v>
      </c>
      <c r="BC62" s="100"/>
      <c r="BD62" s="100"/>
      <c r="BE62" s="100"/>
      <c r="BF62" s="98">
        <v>5</v>
      </c>
      <c r="BG62" s="98"/>
      <c r="BH62" s="98"/>
      <c r="BI62" s="23"/>
    </row>
    <row r="63" spans="1:64" ht="21.75" customHeight="1" x14ac:dyDescent="0.25">
      <c r="A63" s="55">
        <v>25</v>
      </c>
      <c r="B63" s="96" t="s">
        <v>167</v>
      </c>
      <c r="C63" s="96"/>
      <c r="D63" s="96"/>
      <c r="E63" s="96"/>
      <c r="F63" s="99" t="s">
        <v>115</v>
      </c>
      <c r="G63" s="99"/>
      <c r="H63" s="99"/>
      <c r="I63" s="99"/>
      <c r="J63" s="99"/>
      <c r="K63" s="99"/>
      <c r="L63" s="99"/>
      <c r="M63" s="99"/>
      <c r="N63" s="99"/>
      <c r="O63" s="99"/>
      <c r="P63" s="99"/>
      <c r="Q63" s="99"/>
      <c r="R63" s="99"/>
      <c r="S63" s="99"/>
      <c r="T63" s="99"/>
      <c r="U63" s="99"/>
      <c r="V63" s="98">
        <v>5</v>
      </c>
      <c r="W63" s="98"/>
      <c r="X63" s="98"/>
      <c r="Y63" s="98">
        <v>150</v>
      </c>
      <c r="Z63" s="98"/>
      <c r="AA63" s="98"/>
      <c r="AB63" s="98">
        <v>105</v>
      </c>
      <c r="AC63" s="98"/>
      <c r="AD63" s="98"/>
      <c r="AE63" s="98">
        <v>45</v>
      </c>
      <c r="AF63" s="98"/>
      <c r="AG63" s="98"/>
      <c r="AH63" s="98"/>
      <c r="AI63" s="98"/>
      <c r="AJ63" s="98"/>
      <c r="AK63" s="98">
        <v>45</v>
      </c>
      <c r="AL63" s="98"/>
      <c r="AM63" s="98"/>
      <c r="AN63" s="98"/>
      <c r="AO63" s="98"/>
      <c r="AP63" s="98"/>
      <c r="AQ63" s="98"/>
      <c r="AR63" s="98"/>
      <c r="AS63" s="98"/>
      <c r="AT63" s="109"/>
      <c r="AU63" s="109"/>
      <c r="AV63" s="109"/>
      <c r="AW63" s="109"/>
      <c r="AX63" s="109"/>
      <c r="AY63" s="109"/>
      <c r="AZ63" s="109"/>
      <c r="BA63" s="109"/>
      <c r="BB63" s="100" t="s">
        <v>74</v>
      </c>
      <c r="BC63" s="100"/>
      <c r="BD63" s="100"/>
      <c r="BE63" s="100"/>
      <c r="BF63" s="98">
        <v>3</v>
      </c>
      <c r="BG63" s="98"/>
      <c r="BH63" s="98"/>
      <c r="BI63" s="23"/>
    </row>
    <row r="64" spans="1:64" ht="21.75" customHeight="1" x14ac:dyDescent="0.25">
      <c r="A64" s="55">
        <v>26</v>
      </c>
      <c r="B64" s="96" t="s">
        <v>168</v>
      </c>
      <c r="C64" s="96"/>
      <c r="D64" s="96"/>
      <c r="E64" s="96"/>
      <c r="F64" s="99" t="s">
        <v>116</v>
      </c>
      <c r="G64" s="99"/>
      <c r="H64" s="99"/>
      <c r="I64" s="99"/>
      <c r="J64" s="99"/>
      <c r="K64" s="99"/>
      <c r="L64" s="99"/>
      <c r="M64" s="99"/>
      <c r="N64" s="99"/>
      <c r="O64" s="99"/>
      <c r="P64" s="99"/>
      <c r="Q64" s="99"/>
      <c r="R64" s="99"/>
      <c r="S64" s="99"/>
      <c r="T64" s="99"/>
      <c r="U64" s="99"/>
      <c r="V64" s="98">
        <v>4</v>
      </c>
      <c r="W64" s="98"/>
      <c r="X64" s="98"/>
      <c r="Y64" s="98">
        <v>120</v>
      </c>
      <c r="Z64" s="98"/>
      <c r="AA64" s="98"/>
      <c r="AB64" s="98">
        <v>75</v>
      </c>
      <c r="AC64" s="98"/>
      <c r="AD64" s="98"/>
      <c r="AE64" s="98">
        <v>45</v>
      </c>
      <c r="AF64" s="98"/>
      <c r="AG64" s="98"/>
      <c r="AH64" s="98"/>
      <c r="AI64" s="98"/>
      <c r="AJ64" s="98"/>
      <c r="AK64" s="98">
        <v>45</v>
      </c>
      <c r="AL64" s="98"/>
      <c r="AM64" s="98"/>
      <c r="AN64" s="98"/>
      <c r="AO64" s="98"/>
      <c r="AP64" s="98"/>
      <c r="AQ64" s="98"/>
      <c r="AR64" s="98"/>
      <c r="AS64" s="98"/>
      <c r="AT64" s="98"/>
      <c r="AU64" s="98"/>
      <c r="AV64" s="98"/>
      <c r="AW64" s="98"/>
      <c r="AX64" s="109"/>
      <c r="AY64" s="109"/>
      <c r="AZ64" s="109"/>
      <c r="BA64" s="109"/>
      <c r="BB64" s="100" t="s">
        <v>73</v>
      </c>
      <c r="BC64" s="100"/>
      <c r="BD64" s="100"/>
      <c r="BE64" s="100"/>
      <c r="BF64" s="98">
        <v>3</v>
      </c>
      <c r="BG64" s="98"/>
      <c r="BH64" s="98"/>
      <c r="BI64" s="23"/>
    </row>
    <row r="65" spans="1:166" ht="21.75" customHeight="1" x14ac:dyDescent="0.25">
      <c r="A65" s="55">
        <v>27</v>
      </c>
      <c r="B65" s="96" t="s">
        <v>169</v>
      </c>
      <c r="C65" s="96"/>
      <c r="D65" s="96"/>
      <c r="E65" s="96"/>
      <c r="F65" s="101" t="s">
        <v>126</v>
      </c>
      <c r="G65" s="101"/>
      <c r="H65" s="101"/>
      <c r="I65" s="101"/>
      <c r="J65" s="101"/>
      <c r="K65" s="101"/>
      <c r="L65" s="101"/>
      <c r="M65" s="101"/>
      <c r="N65" s="101"/>
      <c r="O65" s="101"/>
      <c r="P65" s="101"/>
      <c r="Q65" s="101"/>
      <c r="R65" s="101"/>
      <c r="S65" s="101"/>
      <c r="T65" s="101"/>
      <c r="U65" s="101"/>
      <c r="V65" s="98">
        <v>6</v>
      </c>
      <c r="W65" s="98"/>
      <c r="X65" s="98"/>
      <c r="Y65" s="98">
        <v>180</v>
      </c>
      <c r="Z65" s="98"/>
      <c r="AA65" s="98"/>
      <c r="AB65" s="98">
        <v>120</v>
      </c>
      <c r="AC65" s="98"/>
      <c r="AD65" s="98"/>
      <c r="AE65" s="98">
        <v>60</v>
      </c>
      <c r="AF65" s="98"/>
      <c r="AG65" s="98"/>
      <c r="AH65" s="98"/>
      <c r="AI65" s="98"/>
      <c r="AJ65" s="98"/>
      <c r="AK65" s="98">
        <v>60</v>
      </c>
      <c r="AL65" s="98"/>
      <c r="AM65" s="98"/>
      <c r="AN65" s="98"/>
      <c r="AO65" s="98"/>
      <c r="AP65" s="98"/>
      <c r="AQ65" s="98"/>
      <c r="AR65" s="98"/>
      <c r="AS65" s="98"/>
      <c r="AT65" s="98"/>
      <c r="AU65" s="98"/>
      <c r="AV65" s="98"/>
      <c r="AW65" s="98"/>
      <c r="AX65" s="98"/>
      <c r="AY65" s="98"/>
      <c r="AZ65" s="98"/>
      <c r="BA65" s="98"/>
      <c r="BB65" s="100" t="s">
        <v>75</v>
      </c>
      <c r="BC65" s="100"/>
      <c r="BD65" s="100"/>
      <c r="BE65" s="100"/>
      <c r="BF65" s="98">
        <v>4</v>
      </c>
      <c r="BG65" s="98"/>
      <c r="BH65" s="98"/>
      <c r="BI65" s="23"/>
    </row>
    <row r="66" spans="1:166" s="17" customFormat="1" ht="21.75" customHeight="1" x14ac:dyDescent="0.25">
      <c r="A66" s="55">
        <v>28</v>
      </c>
      <c r="B66" s="96" t="s">
        <v>170</v>
      </c>
      <c r="C66" s="96"/>
      <c r="D66" s="96"/>
      <c r="E66" s="96"/>
      <c r="F66" s="101" t="s">
        <v>101</v>
      </c>
      <c r="G66" s="101"/>
      <c r="H66" s="101"/>
      <c r="I66" s="101"/>
      <c r="J66" s="101"/>
      <c r="K66" s="101"/>
      <c r="L66" s="101"/>
      <c r="M66" s="101"/>
      <c r="N66" s="101"/>
      <c r="O66" s="101"/>
      <c r="P66" s="101"/>
      <c r="Q66" s="101"/>
      <c r="R66" s="101"/>
      <c r="S66" s="101"/>
      <c r="T66" s="101"/>
      <c r="U66" s="101"/>
      <c r="V66" s="98">
        <v>6</v>
      </c>
      <c r="W66" s="98"/>
      <c r="X66" s="98"/>
      <c r="Y66" s="98">
        <v>180</v>
      </c>
      <c r="Z66" s="98"/>
      <c r="AA66" s="98"/>
      <c r="AB66" s="98">
        <v>90</v>
      </c>
      <c r="AC66" s="98"/>
      <c r="AD66" s="98"/>
      <c r="AE66" s="98">
        <v>90</v>
      </c>
      <c r="AF66" s="98"/>
      <c r="AG66" s="98"/>
      <c r="AH66" s="98">
        <v>45</v>
      </c>
      <c r="AI66" s="98"/>
      <c r="AJ66" s="98"/>
      <c r="AK66" s="98">
        <v>45</v>
      </c>
      <c r="AL66" s="98"/>
      <c r="AM66" s="98"/>
      <c r="AN66" s="98"/>
      <c r="AO66" s="98"/>
      <c r="AP66" s="98"/>
      <c r="AQ66" s="98"/>
      <c r="AR66" s="98"/>
      <c r="AS66" s="98"/>
      <c r="AT66" s="98"/>
      <c r="AU66" s="98"/>
      <c r="AV66" s="98"/>
      <c r="AW66" s="98"/>
      <c r="AX66" s="98"/>
      <c r="AY66" s="98"/>
      <c r="AZ66" s="98"/>
      <c r="BA66" s="98"/>
      <c r="BB66" s="100" t="s">
        <v>34</v>
      </c>
      <c r="BC66" s="100"/>
      <c r="BD66" s="100"/>
      <c r="BE66" s="100"/>
      <c r="BF66" s="98">
        <v>6</v>
      </c>
      <c r="BG66" s="98"/>
      <c r="BH66" s="98"/>
      <c r="BI66" s="67"/>
      <c r="BJ66" s="25">
        <v>15</v>
      </c>
      <c r="BK66" s="24" t="s">
        <v>226</v>
      </c>
    </row>
    <row r="67" spans="1:166" s="19" customFormat="1" ht="63.75" customHeight="1" x14ac:dyDescent="0.4">
      <c r="A67" s="55">
        <v>29</v>
      </c>
      <c r="B67" s="96" t="s">
        <v>171</v>
      </c>
      <c r="C67" s="96"/>
      <c r="D67" s="96"/>
      <c r="E67" s="96"/>
      <c r="F67" s="101" t="s">
        <v>131</v>
      </c>
      <c r="G67" s="101"/>
      <c r="H67" s="101"/>
      <c r="I67" s="101"/>
      <c r="J67" s="101"/>
      <c r="K67" s="101"/>
      <c r="L67" s="101"/>
      <c r="M67" s="101"/>
      <c r="N67" s="101"/>
      <c r="O67" s="101"/>
      <c r="P67" s="101"/>
      <c r="Q67" s="101"/>
      <c r="R67" s="101"/>
      <c r="S67" s="101"/>
      <c r="T67" s="101"/>
      <c r="U67" s="101"/>
      <c r="V67" s="98">
        <v>7</v>
      </c>
      <c r="W67" s="98"/>
      <c r="X67" s="98"/>
      <c r="Y67" s="98">
        <v>210</v>
      </c>
      <c r="Z67" s="98"/>
      <c r="AA67" s="98"/>
      <c r="AB67" s="98">
        <v>90</v>
      </c>
      <c r="AC67" s="98"/>
      <c r="AD67" s="98"/>
      <c r="AE67" s="98">
        <v>120</v>
      </c>
      <c r="AF67" s="98"/>
      <c r="AG67" s="98"/>
      <c r="AH67" s="98">
        <v>60</v>
      </c>
      <c r="AI67" s="98"/>
      <c r="AJ67" s="98"/>
      <c r="AK67" s="98">
        <v>60</v>
      </c>
      <c r="AL67" s="98"/>
      <c r="AM67" s="98"/>
      <c r="AN67" s="98"/>
      <c r="AO67" s="98"/>
      <c r="AP67" s="98"/>
      <c r="AQ67" s="98"/>
      <c r="AR67" s="98"/>
      <c r="AS67" s="98"/>
      <c r="AT67" s="98"/>
      <c r="AU67" s="98"/>
      <c r="AV67" s="98"/>
      <c r="AW67" s="98"/>
      <c r="AX67" s="98"/>
      <c r="AY67" s="98"/>
      <c r="AZ67" s="98"/>
      <c r="BA67" s="98"/>
      <c r="BB67" s="100" t="s">
        <v>32</v>
      </c>
      <c r="BC67" s="100"/>
      <c r="BD67" s="100"/>
      <c r="BE67" s="100"/>
      <c r="BF67" s="98">
        <v>8</v>
      </c>
      <c r="BG67" s="98"/>
      <c r="BH67" s="98"/>
      <c r="BI67" s="67"/>
      <c r="BJ67" s="59">
        <v>60</v>
      </c>
      <c r="BK67" s="69" t="s">
        <v>228</v>
      </c>
    </row>
    <row r="68" spans="1:166" ht="20.25" customHeight="1" x14ac:dyDescent="0.25">
      <c r="A68" s="55">
        <v>30</v>
      </c>
      <c r="B68" s="96" t="s">
        <v>193</v>
      </c>
      <c r="C68" s="96"/>
      <c r="D68" s="96"/>
      <c r="E68" s="96"/>
      <c r="F68" s="99" t="s">
        <v>71</v>
      </c>
      <c r="G68" s="99"/>
      <c r="H68" s="99"/>
      <c r="I68" s="99"/>
      <c r="J68" s="99"/>
      <c r="K68" s="99"/>
      <c r="L68" s="99"/>
      <c r="M68" s="99"/>
      <c r="N68" s="99"/>
      <c r="O68" s="99"/>
      <c r="P68" s="99"/>
      <c r="Q68" s="99"/>
      <c r="R68" s="99"/>
      <c r="S68" s="99"/>
      <c r="T68" s="99"/>
      <c r="U68" s="99"/>
      <c r="V68" s="98">
        <v>3</v>
      </c>
      <c r="W68" s="98"/>
      <c r="X68" s="98"/>
      <c r="Y68" s="98">
        <v>90</v>
      </c>
      <c r="Z68" s="98"/>
      <c r="AA68" s="98"/>
      <c r="AB68" s="98">
        <v>60</v>
      </c>
      <c r="AC68" s="98"/>
      <c r="AD68" s="98"/>
      <c r="AE68" s="98">
        <v>30</v>
      </c>
      <c r="AF68" s="98"/>
      <c r="AG68" s="98"/>
      <c r="AH68" s="98">
        <v>15</v>
      </c>
      <c r="AI68" s="98"/>
      <c r="AJ68" s="98"/>
      <c r="AK68" s="98">
        <v>15</v>
      </c>
      <c r="AL68" s="98"/>
      <c r="AM68" s="98"/>
      <c r="AN68" s="98"/>
      <c r="AO68" s="98"/>
      <c r="AP68" s="98"/>
      <c r="AQ68" s="98"/>
      <c r="AR68" s="98"/>
      <c r="AS68" s="98"/>
      <c r="AT68" s="98"/>
      <c r="AU68" s="98"/>
      <c r="AV68" s="98"/>
      <c r="AW68" s="98"/>
      <c r="AX68" s="98"/>
      <c r="AY68" s="98"/>
      <c r="AZ68" s="98"/>
      <c r="BA68" s="98"/>
      <c r="BB68" s="100" t="s">
        <v>73</v>
      </c>
      <c r="BC68" s="100"/>
      <c r="BD68" s="100"/>
      <c r="BE68" s="100"/>
      <c r="BF68" s="98">
        <v>2</v>
      </c>
      <c r="BG68" s="98"/>
      <c r="BH68" s="98"/>
      <c r="BI68" s="23"/>
    </row>
    <row r="69" spans="1:166" s="17" customFormat="1" ht="23.25" customHeight="1" thickBot="1" x14ac:dyDescent="0.3">
      <c r="A69" s="55">
        <v>31</v>
      </c>
      <c r="B69" s="96" t="s">
        <v>196</v>
      </c>
      <c r="C69" s="96"/>
      <c r="D69" s="96"/>
      <c r="E69" s="96"/>
      <c r="F69" s="99" t="s">
        <v>93</v>
      </c>
      <c r="G69" s="99"/>
      <c r="H69" s="99"/>
      <c r="I69" s="99"/>
      <c r="J69" s="99"/>
      <c r="K69" s="99"/>
      <c r="L69" s="99"/>
      <c r="M69" s="99"/>
      <c r="N69" s="99"/>
      <c r="O69" s="99"/>
      <c r="P69" s="99"/>
      <c r="Q69" s="99"/>
      <c r="R69" s="99"/>
      <c r="S69" s="99"/>
      <c r="T69" s="99"/>
      <c r="U69" s="99"/>
      <c r="V69" s="98">
        <v>4</v>
      </c>
      <c r="W69" s="98"/>
      <c r="X69" s="98"/>
      <c r="Y69" s="98">
        <v>120</v>
      </c>
      <c r="Z69" s="98"/>
      <c r="AA69" s="98"/>
      <c r="AB69" s="98">
        <v>75</v>
      </c>
      <c r="AC69" s="98"/>
      <c r="AD69" s="98"/>
      <c r="AE69" s="98">
        <v>45</v>
      </c>
      <c r="AF69" s="98"/>
      <c r="AG69" s="98"/>
      <c r="AH69" s="98">
        <v>30</v>
      </c>
      <c r="AI69" s="98"/>
      <c r="AJ69" s="98"/>
      <c r="AK69" s="98">
        <v>15</v>
      </c>
      <c r="AL69" s="98"/>
      <c r="AM69" s="98"/>
      <c r="AN69" s="98"/>
      <c r="AO69" s="98"/>
      <c r="AP69" s="98"/>
      <c r="AQ69" s="98"/>
      <c r="AR69" s="98"/>
      <c r="AS69" s="98"/>
      <c r="AT69" s="109"/>
      <c r="AU69" s="109"/>
      <c r="AV69" s="109"/>
      <c r="AW69" s="109"/>
      <c r="AX69" s="109" t="s">
        <v>36</v>
      </c>
      <c r="AY69" s="109"/>
      <c r="AZ69" s="109"/>
      <c r="BA69" s="109"/>
      <c r="BB69" s="100" t="s">
        <v>32</v>
      </c>
      <c r="BC69" s="100"/>
      <c r="BD69" s="100"/>
      <c r="BE69" s="100"/>
      <c r="BF69" s="98">
        <v>3</v>
      </c>
      <c r="BG69" s="98"/>
      <c r="BH69" s="98"/>
      <c r="BI69" s="58"/>
      <c r="BJ69" s="59"/>
      <c r="BK69" s="60"/>
    </row>
    <row r="70" spans="1:166" ht="40.5" customHeight="1" thickBot="1" x14ac:dyDescent="0.3">
      <c r="A70" s="70"/>
      <c r="B70" s="119" t="s">
        <v>173</v>
      </c>
      <c r="C70" s="94"/>
      <c r="D70" s="94"/>
      <c r="E70" s="94"/>
      <c r="F70" s="135" t="s">
        <v>172</v>
      </c>
      <c r="G70" s="135"/>
      <c r="H70" s="135"/>
      <c r="I70" s="135"/>
      <c r="J70" s="135"/>
      <c r="K70" s="135"/>
      <c r="L70" s="135"/>
      <c r="M70" s="135"/>
      <c r="N70" s="135"/>
      <c r="O70" s="135"/>
      <c r="P70" s="135"/>
      <c r="Q70" s="135"/>
      <c r="R70" s="135"/>
      <c r="S70" s="135"/>
      <c r="T70" s="135"/>
      <c r="U70" s="135"/>
      <c r="V70" s="121">
        <f>V71+V72+V73+V74+V75+V77+V78+V79+V80</f>
        <v>60</v>
      </c>
      <c r="W70" s="121"/>
      <c r="X70" s="121"/>
      <c r="Y70" s="121">
        <f>Y71+Y72+Y73+Y74+Y75+Y77+Y78+Y79+Y80</f>
        <v>1800</v>
      </c>
      <c r="Z70" s="121"/>
      <c r="AA70" s="121"/>
      <c r="AB70" s="121">
        <f>AB71+AB72+AB73+AB74+AB75+AB77+AB78+AB79+AB80</f>
        <v>1095</v>
      </c>
      <c r="AC70" s="121"/>
      <c r="AD70" s="121"/>
      <c r="AE70" s="121">
        <f>AE71+AE72+AE73+AE74+AE75+AE77+AE78+AE79+AE80</f>
        <v>705</v>
      </c>
      <c r="AF70" s="121"/>
      <c r="AG70" s="121"/>
      <c r="AH70" s="121">
        <v>135</v>
      </c>
      <c r="AI70" s="121"/>
      <c r="AJ70" s="121"/>
      <c r="AK70" s="121">
        <f>AK71+AK72+AK73+AK74+AK75+AK77+AK78+AK79+AK80</f>
        <v>150</v>
      </c>
      <c r="AL70" s="121"/>
      <c r="AM70" s="121"/>
      <c r="AN70" s="121">
        <f>AN71+AN72+AN73+AN74+AN75+AN77+AN78+AN79+AN80</f>
        <v>240</v>
      </c>
      <c r="AO70" s="121"/>
      <c r="AP70" s="121"/>
      <c r="AQ70" s="121">
        <f>AQ71+AQ72+AQ73+AQ74+AQ75+AQ77+AQ78+AQ79+AQ80</f>
        <v>30</v>
      </c>
      <c r="AR70" s="121"/>
      <c r="AS70" s="121"/>
      <c r="AT70" s="133"/>
      <c r="AU70" s="133"/>
      <c r="AV70" s="133"/>
      <c r="AW70" s="133"/>
      <c r="AX70" s="133"/>
      <c r="AY70" s="133"/>
      <c r="AZ70" s="133"/>
      <c r="BA70" s="133"/>
      <c r="BB70" s="121"/>
      <c r="BC70" s="121"/>
      <c r="BD70" s="121"/>
      <c r="BE70" s="121"/>
      <c r="BF70" s="133"/>
      <c r="BG70" s="133"/>
      <c r="BH70" s="134"/>
      <c r="BI70" s="23"/>
    </row>
    <row r="71" spans="1:166" ht="23.25" customHeight="1" x14ac:dyDescent="0.25">
      <c r="A71" s="55">
        <v>32</v>
      </c>
      <c r="B71" s="96" t="s">
        <v>174</v>
      </c>
      <c r="C71" s="96"/>
      <c r="D71" s="96"/>
      <c r="E71" s="96"/>
      <c r="F71" s="103" t="s">
        <v>100</v>
      </c>
      <c r="G71" s="103"/>
      <c r="H71" s="103"/>
      <c r="I71" s="103"/>
      <c r="J71" s="103"/>
      <c r="K71" s="103"/>
      <c r="L71" s="103"/>
      <c r="M71" s="103"/>
      <c r="N71" s="103"/>
      <c r="O71" s="103"/>
      <c r="P71" s="103"/>
      <c r="Q71" s="103"/>
      <c r="R71" s="103"/>
      <c r="S71" s="103"/>
      <c r="T71" s="103"/>
      <c r="U71" s="103"/>
      <c r="V71" s="96">
        <v>6</v>
      </c>
      <c r="W71" s="96"/>
      <c r="X71" s="96"/>
      <c r="Y71" s="96">
        <v>180</v>
      </c>
      <c r="Z71" s="96"/>
      <c r="AA71" s="96"/>
      <c r="AB71" s="96">
        <v>120</v>
      </c>
      <c r="AC71" s="96"/>
      <c r="AD71" s="96"/>
      <c r="AE71" s="96">
        <v>60</v>
      </c>
      <c r="AF71" s="96"/>
      <c r="AG71" s="96"/>
      <c r="AH71" s="96">
        <v>30</v>
      </c>
      <c r="AI71" s="96"/>
      <c r="AJ71" s="96"/>
      <c r="AK71" s="96">
        <v>30</v>
      </c>
      <c r="AL71" s="96"/>
      <c r="AM71" s="96"/>
      <c r="AN71" s="96"/>
      <c r="AO71" s="96"/>
      <c r="AP71" s="96"/>
      <c r="AQ71" s="96"/>
      <c r="AR71" s="96"/>
      <c r="AS71" s="96"/>
      <c r="AT71" s="96"/>
      <c r="AU71" s="96"/>
      <c r="AV71" s="96"/>
      <c r="AW71" s="96"/>
      <c r="AX71" s="96"/>
      <c r="AY71" s="96"/>
      <c r="AZ71" s="96"/>
      <c r="BA71" s="96"/>
      <c r="BB71" s="105" t="s">
        <v>74</v>
      </c>
      <c r="BC71" s="105"/>
      <c r="BD71" s="105"/>
      <c r="BE71" s="105"/>
      <c r="BF71" s="96">
        <v>4</v>
      </c>
      <c r="BG71" s="96"/>
      <c r="BH71" s="96"/>
      <c r="BI71" s="23"/>
    </row>
    <row r="72" spans="1:166" ht="23.25" customHeight="1" x14ac:dyDescent="0.25">
      <c r="A72" s="56">
        <v>33</v>
      </c>
      <c r="B72" s="98" t="s">
        <v>175</v>
      </c>
      <c r="C72" s="98"/>
      <c r="D72" s="98"/>
      <c r="E72" s="98"/>
      <c r="F72" s="101" t="s">
        <v>135</v>
      </c>
      <c r="G72" s="101"/>
      <c r="H72" s="101"/>
      <c r="I72" s="101"/>
      <c r="J72" s="101"/>
      <c r="K72" s="101"/>
      <c r="L72" s="101"/>
      <c r="M72" s="101"/>
      <c r="N72" s="101"/>
      <c r="O72" s="101"/>
      <c r="P72" s="101"/>
      <c r="Q72" s="101"/>
      <c r="R72" s="101"/>
      <c r="S72" s="101"/>
      <c r="T72" s="101"/>
      <c r="U72" s="101"/>
      <c r="V72" s="98">
        <v>8</v>
      </c>
      <c r="W72" s="98"/>
      <c r="X72" s="98"/>
      <c r="Y72" s="98">
        <v>240</v>
      </c>
      <c r="Z72" s="98"/>
      <c r="AA72" s="98"/>
      <c r="AB72" s="98">
        <v>135</v>
      </c>
      <c r="AC72" s="98"/>
      <c r="AD72" s="98"/>
      <c r="AE72" s="98">
        <v>105</v>
      </c>
      <c r="AF72" s="98"/>
      <c r="AG72" s="98"/>
      <c r="AH72" s="98">
        <v>45</v>
      </c>
      <c r="AI72" s="98"/>
      <c r="AJ72" s="98"/>
      <c r="AK72" s="98">
        <v>30</v>
      </c>
      <c r="AL72" s="98"/>
      <c r="AM72" s="98"/>
      <c r="AN72" s="98">
        <v>30</v>
      </c>
      <c r="AO72" s="98"/>
      <c r="AP72" s="98"/>
      <c r="AQ72" s="98"/>
      <c r="AR72" s="98"/>
      <c r="AS72" s="98"/>
      <c r="AT72" s="98"/>
      <c r="AU72" s="98"/>
      <c r="AV72" s="98"/>
      <c r="AW72" s="98"/>
      <c r="AX72" s="98"/>
      <c r="AY72" s="98"/>
      <c r="AZ72" s="98"/>
      <c r="BA72" s="98"/>
      <c r="BB72" s="100" t="s">
        <v>73</v>
      </c>
      <c r="BC72" s="100"/>
      <c r="BD72" s="100"/>
      <c r="BE72" s="100"/>
      <c r="BF72" s="98">
        <v>7</v>
      </c>
      <c r="BG72" s="98"/>
      <c r="BH72" s="98"/>
      <c r="BI72" s="67"/>
      <c r="BJ72" s="25">
        <v>15</v>
      </c>
      <c r="BK72" s="24" t="s">
        <v>224</v>
      </c>
    </row>
    <row r="73" spans="1:166" ht="23.25" customHeight="1" x14ac:dyDescent="0.25">
      <c r="A73" s="55">
        <v>34</v>
      </c>
      <c r="B73" s="98" t="s">
        <v>176</v>
      </c>
      <c r="C73" s="98"/>
      <c r="D73" s="98"/>
      <c r="E73" s="98"/>
      <c r="F73" s="99" t="s">
        <v>102</v>
      </c>
      <c r="G73" s="99"/>
      <c r="H73" s="99"/>
      <c r="I73" s="99"/>
      <c r="J73" s="99"/>
      <c r="K73" s="99"/>
      <c r="L73" s="99"/>
      <c r="M73" s="99"/>
      <c r="N73" s="99"/>
      <c r="O73" s="99"/>
      <c r="P73" s="99"/>
      <c r="Q73" s="99"/>
      <c r="R73" s="99"/>
      <c r="S73" s="99"/>
      <c r="T73" s="99"/>
      <c r="U73" s="99"/>
      <c r="V73" s="98">
        <v>7</v>
      </c>
      <c r="W73" s="98"/>
      <c r="X73" s="98"/>
      <c r="Y73" s="98">
        <v>210</v>
      </c>
      <c r="Z73" s="98"/>
      <c r="AA73" s="98"/>
      <c r="AB73" s="98">
        <v>120</v>
      </c>
      <c r="AC73" s="98"/>
      <c r="AD73" s="98"/>
      <c r="AE73" s="98">
        <v>90</v>
      </c>
      <c r="AF73" s="98"/>
      <c r="AG73" s="98"/>
      <c r="AH73" s="98">
        <v>45</v>
      </c>
      <c r="AI73" s="98"/>
      <c r="AJ73" s="98"/>
      <c r="AK73" s="98">
        <v>45</v>
      </c>
      <c r="AL73" s="98"/>
      <c r="AM73" s="98"/>
      <c r="AN73" s="98"/>
      <c r="AO73" s="98"/>
      <c r="AP73" s="98"/>
      <c r="AQ73" s="98"/>
      <c r="AR73" s="98"/>
      <c r="AS73" s="98"/>
      <c r="AT73" s="98"/>
      <c r="AU73" s="98"/>
      <c r="AV73" s="98"/>
      <c r="AW73" s="98"/>
      <c r="AX73" s="98"/>
      <c r="AY73" s="98"/>
      <c r="AZ73" s="98"/>
      <c r="BA73" s="98"/>
      <c r="BB73" s="100" t="s">
        <v>73</v>
      </c>
      <c r="BC73" s="100"/>
      <c r="BD73" s="100"/>
      <c r="BE73" s="100"/>
      <c r="BF73" s="98">
        <v>6</v>
      </c>
      <c r="BG73" s="98"/>
      <c r="BH73" s="98"/>
      <c r="BI73" s="67"/>
      <c r="BJ73" s="25">
        <v>15</v>
      </c>
      <c r="BK73" s="24" t="s">
        <v>225</v>
      </c>
    </row>
    <row r="74" spans="1:166" s="20" customFormat="1" ht="23.25" customHeight="1" x14ac:dyDescent="0.25">
      <c r="A74" s="56">
        <v>35</v>
      </c>
      <c r="B74" s="98" t="s">
        <v>177</v>
      </c>
      <c r="C74" s="98"/>
      <c r="D74" s="98"/>
      <c r="E74" s="98"/>
      <c r="F74" s="101" t="s">
        <v>129</v>
      </c>
      <c r="G74" s="101"/>
      <c r="H74" s="101"/>
      <c r="I74" s="101"/>
      <c r="J74" s="101"/>
      <c r="K74" s="101"/>
      <c r="L74" s="101"/>
      <c r="M74" s="101"/>
      <c r="N74" s="101"/>
      <c r="O74" s="101"/>
      <c r="P74" s="101"/>
      <c r="Q74" s="101"/>
      <c r="R74" s="101"/>
      <c r="S74" s="101"/>
      <c r="T74" s="101"/>
      <c r="U74" s="101"/>
      <c r="V74" s="98">
        <v>6</v>
      </c>
      <c r="W74" s="98"/>
      <c r="X74" s="98"/>
      <c r="Y74" s="98">
        <v>180</v>
      </c>
      <c r="Z74" s="98"/>
      <c r="AA74" s="98"/>
      <c r="AB74" s="98">
        <v>105</v>
      </c>
      <c r="AC74" s="98"/>
      <c r="AD74" s="98"/>
      <c r="AE74" s="98">
        <v>75</v>
      </c>
      <c r="AF74" s="98"/>
      <c r="AG74" s="98"/>
      <c r="AH74" s="98">
        <v>30</v>
      </c>
      <c r="AI74" s="98"/>
      <c r="AJ74" s="98"/>
      <c r="AK74" s="98">
        <v>45</v>
      </c>
      <c r="AL74" s="98"/>
      <c r="AM74" s="98"/>
      <c r="AN74" s="98"/>
      <c r="AO74" s="98"/>
      <c r="AP74" s="98"/>
      <c r="AQ74" s="98"/>
      <c r="AR74" s="98"/>
      <c r="AS74" s="98"/>
      <c r="AT74" s="98"/>
      <c r="AU74" s="98"/>
      <c r="AV74" s="98"/>
      <c r="AW74" s="98"/>
      <c r="AX74" s="98"/>
      <c r="AY74" s="98"/>
      <c r="AZ74" s="98"/>
      <c r="BA74" s="98"/>
      <c r="BB74" s="100" t="s">
        <v>75</v>
      </c>
      <c r="BC74" s="100"/>
      <c r="BD74" s="100"/>
      <c r="BE74" s="100"/>
      <c r="BF74" s="98">
        <v>5</v>
      </c>
      <c r="BG74" s="98"/>
      <c r="BH74" s="98"/>
      <c r="BI74" s="23"/>
      <c r="BJ74" s="25"/>
      <c r="BK74" s="24"/>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E74" s="13"/>
      <c r="FF74" s="13"/>
      <c r="FG74" s="13"/>
      <c r="FH74" s="13"/>
      <c r="FI74" s="13"/>
      <c r="FJ74" s="13"/>
    </row>
    <row r="75" spans="1:166" s="20" customFormat="1" ht="42" customHeight="1" thickBot="1" x14ac:dyDescent="0.3">
      <c r="A75" s="55">
        <v>36</v>
      </c>
      <c r="B75" s="98" t="s">
        <v>178</v>
      </c>
      <c r="C75" s="98"/>
      <c r="D75" s="98"/>
      <c r="E75" s="98"/>
      <c r="F75" s="101" t="s">
        <v>136</v>
      </c>
      <c r="G75" s="101"/>
      <c r="H75" s="101"/>
      <c r="I75" s="101"/>
      <c r="J75" s="101"/>
      <c r="K75" s="101"/>
      <c r="L75" s="101"/>
      <c r="M75" s="101"/>
      <c r="N75" s="101"/>
      <c r="O75" s="101"/>
      <c r="P75" s="101"/>
      <c r="Q75" s="101"/>
      <c r="R75" s="101"/>
      <c r="S75" s="101"/>
      <c r="T75" s="101"/>
      <c r="U75" s="101"/>
      <c r="V75" s="98">
        <v>6</v>
      </c>
      <c r="W75" s="98"/>
      <c r="X75" s="98"/>
      <c r="Y75" s="98">
        <v>180</v>
      </c>
      <c r="Z75" s="98"/>
      <c r="AA75" s="98"/>
      <c r="AB75" s="98">
        <v>120</v>
      </c>
      <c r="AC75" s="98"/>
      <c r="AD75" s="98"/>
      <c r="AE75" s="98">
        <v>60</v>
      </c>
      <c r="AF75" s="98"/>
      <c r="AG75" s="98"/>
      <c r="AH75" s="98">
        <v>15</v>
      </c>
      <c r="AI75" s="98"/>
      <c r="AJ75" s="98"/>
      <c r="AK75" s="98"/>
      <c r="AL75" s="98"/>
      <c r="AM75" s="98"/>
      <c r="AN75" s="98">
        <v>45</v>
      </c>
      <c r="AO75" s="98"/>
      <c r="AP75" s="98"/>
      <c r="AQ75" s="98"/>
      <c r="AR75" s="98"/>
      <c r="AS75" s="98"/>
      <c r="AT75" s="98"/>
      <c r="AU75" s="98"/>
      <c r="AV75" s="98"/>
      <c r="AW75" s="98"/>
      <c r="AX75" s="98"/>
      <c r="AY75" s="98"/>
      <c r="AZ75" s="98"/>
      <c r="BA75" s="98"/>
      <c r="BB75" s="100" t="s">
        <v>75</v>
      </c>
      <c r="BC75" s="100"/>
      <c r="BD75" s="100"/>
      <c r="BE75" s="100"/>
      <c r="BF75" s="98">
        <v>4</v>
      </c>
      <c r="BG75" s="98"/>
      <c r="BH75" s="98"/>
      <c r="BI75" s="23"/>
      <c r="BJ75" s="25"/>
      <c r="BK75" s="24"/>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c r="FD75" s="13"/>
      <c r="FE75" s="13"/>
      <c r="FF75" s="13"/>
      <c r="FG75" s="13"/>
      <c r="FH75" s="13"/>
      <c r="FI75" s="13"/>
      <c r="FJ75" s="13"/>
    </row>
    <row r="76" spans="1:166" ht="21" customHeight="1" thickBot="1" x14ac:dyDescent="0.3">
      <c r="A76" s="53">
        <v>1</v>
      </c>
      <c r="B76" s="119">
        <v>2</v>
      </c>
      <c r="C76" s="94"/>
      <c r="D76" s="94"/>
      <c r="E76" s="94"/>
      <c r="F76" s="94">
        <v>3</v>
      </c>
      <c r="G76" s="94"/>
      <c r="H76" s="94"/>
      <c r="I76" s="94"/>
      <c r="J76" s="94"/>
      <c r="K76" s="94"/>
      <c r="L76" s="94"/>
      <c r="M76" s="94"/>
      <c r="N76" s="94"/>
      <c r="O76" s="94"/>
      <c r="P76" s="94"/>
      <c r="Q76" s="94"/>
      <c r="R76" s="94"/>
      <c r="S76" s="94"/>
      <c r="T76" s="94"/>
      <c r="U76" s="94"/>
      <c r="V76" s="94">
        <v>4</v>
      </c>
      <c r="W76" s="94"/>
      <c r="X76" s="94"/>
      <c r="Y76" s="94">
        <v>5</v>
      </c>
      <c r="Z76" s="94"/>
      <c r="AA76" s="94"/>
      <c r="AB76" s="94">
        <v>6</v>
      </c>
      <c r="AC76" s="94"/>
      <c r="AD76" s="94"/>
      <c r="AE76" s="94">
        <v>7</v>
      </c>
      <c r="AF76" s="94"/>
      <c r="AG76" s="94"/>
      <c r="AH76" s="94">
        <v>8</v>
      </c>
      <c r="AI76" s="94"/>
      <c r="AJ76" s="94"/>
      <c r="AK76" s="94">
        <v>9</v>
      </c>
      <c r="AL76" s="94"/>
      <c r="AM76" s="94"/>
      <c r="AN76" s="94">
        <v>10</v>
      </c>
      <c r="AO76" s="94"/>
      <c r="AP76" s="94"/>
      <c r="AQ76" s="94">
        <v>11</v>
      </c>
      <c r="AR76" s="94"/>
      <c r="AS76" s="94"/>
      <c r="AT76" s="94">
        <v>12</v>
      </c>
      <c r="AU76" s="94"/>
      <c r="AV76" s="94"/>
      <c r="AW76" s="94"/>
      <c r="AX76" s="94">
        <v>13</v>
      </c>
      <c r="AY76" s="94"/>
      <c r="AZ76" s="94"/>
      <c r="BA76" s="94"/>
      <c r="BB76" s="94">
        <v>14</v>
      </c>
      <c r="BC76" s="94"/>
      <c r="BD76" s="94"/>
      <c r="BE76" s="94"/>
      <c r="BF76" s="94">
        <v>15</v>
      </c>
      <c r="BG76" s="94"/>
      <c r="BH76" s="95"/>
      <c r="BI76" s="23"/>
    </row>
    <row r="77" spans="1:166" ht="24" customHeight="1" x14ac:dyDescent="0.25">
      <c r="A77" s="56">
        <v>37</v>
      </c>
      <c r="B77" s="98" t="s">
        <v>179</v>
      </c>
      <c r="C77" s="98"/>
      <c r="D77" s="98"/>
      <c r="E77" s="98"/>
      <c r="F77" s="101" t="s">
        <v>137</v>
      </c>
      <c r="G77" s="101"/>
      <c r="H77" s="101"/>
      <c r="I77" s="101"/>
      <c r="J77" s="101"/>
      <c r="K77" s="101"/>
      <c r="L77" s="101"/>
      <c r="M77" s="101"/>
      <c r="N77" s="101"/>
      <c r="O77" s="101"/>
      <c r="P77" s="101"/>
      <c r="Q77" s="101"/>
      <c r="R77" s="101"/>
      <c r="S77" s="101"/>
      <c r="T77" s="101"/>
      <c r="U77" s="101"/>
      <c r="V77" s="98">
        <v>7</v>
      </c>
      <c r="W77" s="98"/>
      <c r="X77" s="98"/>
      <c r="Y77" s="98">
        <v>210</v>
      </c>
      <c r="Z77" s="98"/>
      <c r="AA77" s="98"/>
      <c r="AB77" s="98">
        <v>120</v>
      </c>
      <c r="AC77" s="98"/>
      <c r="AD77" s="98"/>
      <c r="AE77" s="98">
        <v>90</v>
      </c>
      <c r="AF77" s="98"/>
      <c r="AG77" s="98"/>
      <c r="AH77" s="98">
        <v>45</v>
      </c>
      <c r="AI77" s="98"/>
      <c r="AJ77" s="98"/>
      <c r="AK77" s="98"/>
      <c r="AL77" s="98"/>
      <c r="AM77" s="98"/>
      <c r="AN77" s="98">
        <v>45</v>
      </c>
      <c r="AO77" s="98"/>
      <c r="AP77" s="98"/>
      <c r="AQ77" s="98"/>
      <c r="AR77" s="98"/>
      <c r="AS77" s="98"/>
      <c r="AT77" s="109"/>
      <c r="AU77" s="109"/>
      <c r="AV77" s="109"/>
      <c r="AW77" s="109"/>
      <c r="AX77" s="109"/>
      <c r="AY77" s="109"/>
      <c r="AZ77" s="109"/>
      <c r="BA77" s="109"/>
      <c r="BB77" s="100" t="s">
        <v>74</v>
      </c>
      <c r="BC77" s="100"/>
      <c r="BD77" s="100"/>
      <c r="BE77" s="100"/>
      <c r="BF77" s="98">
        <v>6</v>
      </c>
      <c r="BG77" s="98"/>
      <c r="BH77" s="98"/>
      <c r="BI77" s="23"/>
    </row>
    <row r="78" spans="1:166" ht="24" customHeight="1" x14ac:dyDescent="0.25">
      <c r="A78" s="55">
        <v>38</v>
      </c>
      <c r="B78" s="98" t="s">
        <v>180</v>
      </c>
      <c r="C78" s="98"/>
      <c r="D78" s="98"/>
      <c r="E78" s="98"/>
      <c r="F78" s="99" t="s">
        <v>138</v>
      </c>
      <c r="G78" s="99"/>
      <c r="H78" s="99"/>
      <c r="I78" s="99"/>
      <c r="J78" s="99"/>
      <c r="K78" s="99"/>
      <c r="L78" s="99"/>
      <c r="M78" s="99"/>
      <c r="N78" s="99"/>
      <c r="O78" s="99"/>
      <c r="P78" s="99"/>
      <c r="Q78" s="99"/>
      <c r="R78" s="99"/>
      <c r="S78" s="99"/>
      <c r="T78" s="99"/>
      <c r="U78" s="99"/>
      <c r="V78" s="98">
        <v>8</v>
      </c>
      <c r="W78" s="98"/>
      <c r="X78" s="98"/>
      <c r="Y78" s="98">
        <v>240</v>
      </c>
      <c r="Z78" s="98"/>
      <c r="AA78" s="98"/>
      <c r="AB78" s="98">
        <v>150</v>
      </c>
      <c r="AC78" s="98"/>
      <c r="AD78" s="98"/>
      <c r="AE78" s="98">
        <v>90</v>
      </c>
      <c r="AF78" s="98"/>
      <c r="AG78" s="98"/>
      <c r="AH78" s="98">
        <v>45</v>
      </c>
      <c r="AI78" s="98"/>
      <c r="AJ78" s="98"/>
      <c r="AK78" s="98"/>
      <c r="AL78" s="98"/>
      <c r="AM78" s="98"/>
      <c r="AN78" s="98">
        <v>45</v>
      </c>
      <c r="AO78" s="98"/>
      <c r="AP78" s="98"/>
      <c r="AQ78" s="98"/>
      <c r="AR78" s="98"/>
      <c r="AS78" s="98"/>
      <c r="AT78" s="109"/>
      <c r="AU78" s="109"/>
      <c r="AV78" s="109"/>
      <c r="AW78" s="109"/>
      <c r="AX78" s="109"/>
      <c r="AY78" s="109"/>
      <c r="AZ78" s="109"/>
      <c r="BA78" s="109"/>
      <c r="BB78" s="100" t="s">
        <v>73</v>
      </c>
      <c r="BC78" s="100"/>
      <c r="BD78" s="100"/>
      <c r="BE78" s="100"/>
      <c r="BF78" s="98">
        <v>6</v>
      </c>
      <c r="BG78" s="98"/>
      <c r="BH78" s="98"/>
      <c r="BI78" s="23"/>
    </row>
    <row r="79" spans="1:166" ht="24" customHeight="1" x14ac:dyDescent="0.25">
      <c r="A79" s="56">
        <v>39</v>
      </c>
      <c r="B79" s="77" t="s">
        <v>181</v>
      </c>
      <c r="C79" s="78"/>
      <c r="D79" s="78"/>
      <c r="E79" s="79"/>
      <c r="F79" s="181" t="s">
        <v>139</v>
      </c>
      <c r="G79" s="182"/>
      <c r="H79" s="182"/>
      <c r="I79" s="182"/>
      <c r="J79" s="182"/>
      <c r="K79" s="182"/>
      <c r="L79" s="182"/>
      <c r="M79" s="182"/>
      <c r="N79" s="182"/>
      <c r="O79" s="182"/>
      <c r="P79" s="182"/>
      <c r="Q79" s="182"/>
      <c r="R79" s="182"/>
      <c r="S79" s="182"/>
      <c r="T79" s="182"/>
      <c r="U79" s="183"/>
      <c r="V79" s="77">
        <v>6</v>
      </c>
      <c r="W79" s="78"/>
      <c r="X79" s="79"/>
      <c r="Y79" s="77">
        <v>180</v>
      </c>
      <c r="Z79" s="78"/>
      <c r="AA79" s="79"/>
      <c r="AB79" s="77">
        <v>105</v>
      </c>
      <c r="AC79" s="78"/>
      <c r="AD79" s="79"/>
      <c r="AE79" s="77">
        <v>75</v>
      </c>
      <c r="AF79" s="78"/>
      <c r="AG79" s="79"/>
      <c r="AH79" s="77">
        <v>15</v>
      </c>
      <c r="AI79" s="78"/>
      <c r="AJ79" s="79"/>
      <c r="AK79" s="77"/>
      <c r="AL79" s="78"/>
      <c r="AM79" s="79"/>
      <c r="AN79" s="77">
        <v>30</v>
      </c>
      <c r="AO79" s="78"/>
      <c r="AP79" s="79"/>
      <c r="AQ79" s="77">
        <v>30</v>
      </c>
      <c r="AR79" s="78"/>
      <c r="AS79" s="79"/>
      <c r="AT79" s="184"/>
      <c r="AU79" s="185"/>
      <c r="AV79" s="185"/>
      <c r="AW79" s="186"/>
      <c r="AX79" s="184"/>
      <c r="AY79" s="185"/>
      <c r="AZ79" s="185"/>
      <c r="BA79" s="186"/>
      <c r="BB79" s="80" t="s">
        <v>75</v>
      </c>
      <c r="BC79" s="81"/>
      <c r="BD79" s="81"/>
      <c r="BE79" s="82"/>
      <c r="BF79" s="77">
        <v>5</v>
      </c>
      <c r="BG79" s="78"/>
      <c r="BH79" s="79"/>
      <c r="BI79" s="23"/>
    </row>
    <row r="80" spans="1:166" ht="40.5" customHeight="1" x14ac:dyDescent="0.25">
      <c r="A80" s="55">
        <v>40</v>
      </c>
      <c r="B80" s="96" t="s">
        <v>182</v>
      </c>
      <c r="C80" s="96"/>
      <c r="D80" s="96"/>
      <c r="E80" s="96"/>
      <c r="F80" s="180" t="s">
        <v>140</v>
      </c>
      <c r="G80" s="180"/>
      <c r="H80" s="180"/>
      <c r="I80" s="180"/>
      <c r="J80" s="180"/>
      <c r="K80" s="180"/>
      <c r="L80" s="180"/>
      <c r="M80" s="180"/>
      <c r="N80" s="180"/>
      <c r="O80" s="180"/>
      <c r="P80" s="180"/>
      <c r="Q80" s="180"/>
      <c r="R80" s="180"/>
      <c r="S80" s="180"/>
      <c r="T80" s="180"/>
      <c r="U80" s="180"/>
      <c r="V80" s="96">
        <v>6</v>
      </c>
      <c r="W80" s="96"/>
      <c r="X80" s="96"/>
      <c r="Y80" s="96">
        <v>180</v>
      </c>
      <c r="Z80" s="96"/>
      <c r="AA80" s="96"/>
      <c r="AB80" s="96">
        <v>120</v>
      </c>
      <c r="AC80" s="96"/>
      <c r="AD80" s="96"/>
      <c r="AE80" s="96">
        <v>60</v>
      </c>
      <c r="AF80" s="96"/>
      <c r="AG80" s="96"/>
      <c r="AH80" s="96">
        <v>15</v>
      </c>
      <c r="AI80" s="96"/>
      <c r="AJ80" s="96"/>
      <c r="AK80" s="96"/>
      <c r="AL80" s="96"/>
      <c r="AM80" s="96"/>
      <c r="AN80" s="96">
        <v>45</v>
      </c>
      <c r="AO80" s="96"/>
      <c r="AP80" s="96"/>
      <c r="AQ80" s="96"/>
      <c r="AR80" s="96"/>
      <c r="AS80" s="96"/>
      <c r="AT80" s="104"/>
      <c r="AU80" s="104"/>
      <c r="AV80" s="104"/>
      <c r="AW80" s="104"/>
      <c r="AX80" s="104"/>
      <c r="AY80" s="104"/>
      <c r="AZ80" s="104"/>
      <c r="BA80" s="104"/>
      <c r="BB80" s="105" t="s">
        <v>75</v>
      </c>
      <c r="BC80" s="105"/>
      <c r="BD80" s="105"/>
      <c r="BE80" s="105"/>
      <c r="BF80" s="96">
        <v>4</v>
      </c>
      <c r="BG80" s="96"/>
      <c r="BH80" s="96"/>
      <c r="BI80" s="23"/>
    </row>
    <row r="81" spans="1:63" ht="20.25" customHeight="1" x14ac:dyDescent="0.25">
      <c r="A81" s="56"/>
      <c r="B81" s="77" t="s">
        <v>183</v>
      </c>
      <c r="C81" s="78"/>
      <c r="D81" s="78"/>
      <c r="E81" s="79"/>
      <c r="F81" s="99" t="s">
        <v>209</v>
      </c>
      <c r="G81" s="99"/>
      <c r="H81" s="99"/>
      <c r="I81" s="99"/>
      <c r="J81" s="99"/>
      <c r="K81" s="99"/>
      <c r="L81" s="99"/>
      <c r="M81" s="99"/>
      <c r="N81" s="99"/>
      <c r="O81" s="99"/>
      <c r="P81" s="99"/>
      <c r="Q81" s="99"/>
      <c r="R81" s="99"/>
      <c r="S81" s="99"/>
      <c r="T81" s="99"/>
      <c r="U81" s="99"/>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98"/>
      <c r="AY81" s="98"/>
      <c r="AZ81" s="98"/>
      <c r="BA81" s="98"/>
      <c r="BB81" s="100"/>
      <c r="BC81" s="100"/>
      <c r="BD81" s="100"/>
      <c r="BE81" s="100"/>
      <c r="BF81" s="98"/>
      <c r="BG81" s="98"/>
      <c r="BH81" s="98"/>
      <c r="BI81" s="23"/>
    </row>
    <row r="82" spans="1:63" ht="20.25" customHeight="1" x14ac:dyDescent="0.25">
      <c r="A82" s="56"/>
      <c r="B82" s="77" t="s">
        <v>186</v>
      </c>
      <c r="C82" s="78"/>
      <c r="D82" s="78"/>
      <c r="E82" s="79"/>
      <c r="F82" s="99" t="s">
        <v>210</v>
      </c>
      <c r="G82" s="99"/>
      <c r="H82" s="99"/>
      <c r="I82" s="99"/>
      <c r="J82" s="99"/>
      <c r="K82" s="99"/>
      <c r="L82" s="99"/>
      <c r="M82" s="99"/>
      <c r="N82" s="99"/>
      <c r="O82" s="99"/>
      <c r="P82" s="99"/>
      <c r="Q82" s="99"/>
      <c r="R82" s="99"/>
      <c r="S82" s="99"/>
      <c r="T82" s="99"/>
      <c r="U82" s="99"/>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100"/>
      <c r="BC82" s="100"/>
      <c r="BD82" s="100"/>
      <c r="BE82" s="100"/>
      <c r="BF82" s="98"/>
      <c r="BG82" s="98"/>
      <c r="BH82" s="98"/>
      <c r="BI82" s="23"/>
    </row>
    <row r="83" spans="1:63" ht="20.25" customHeight="1" x14ac:dyDescent="0.25">
      <c r="A83" s="56"/>
      <c r="B83" s="77" t="s">
        <v>200</v>
      </c>
      <c r="C83" s="78"/>
      <c r="D83" s="78"/>
      <c r="E83" s="79"/>
      <c r="F83" s="99" t="s">
        <v>211</v>
      </c>
      <c r="G83" s="99"/>
      <c r="H83" s="99"/>
      <c r="I83" s="99"/>
      <c r="J83" s="99"/>
      <c r="K83" s="99"/>
      <c r="L83" s="99"/>
      <c r="M83" s="99"/>
      <c r="N83" s="99"/>
      <c r="O83" s="99"/>
      <c r="P83" s="99"/>
      <c r="Q83" s="99"/>
      <c r="R83" s="99"/>
      <c r="S83" s="99"/>
      <c r="T83" s="99"/>
      <c r="U83" s="99"/>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100"/>
      <c r="BC83" s="100"/>
      <c r="BD83" s="100"/>
      <c r="BE83" s="100"/>
      <c r="BF83" s="98"/>
      <c r="BG83" s="98"/>
      <c r="BH83" s="98"/>
      <c r="BI83" s="23"/>
    </row>
    <row r="84" spans="1:63" ht="20.25" customHeight="1" x14ac:dyDescent="0.25">
      <c r="A84" s="56"/>
      <c r="B84" s="77" t="s">
        <v>201</v>
      </c>
      <c r="C84" s="78"/>
      <c r="D84" s="78"/>
      <c r="E84" s="79"/>
      <c r="F84" s="99" t="s">
        <v>216</v>
      </c>
      <c r="G84" s="99"/>
      <c r="H84" s="99"/>
      <c r="I84" s="99"/>
      <c r="J84" s="99"/>
      <c r="K84" s="99"/>
      <c r="L84" s="99"/>
      <c r="M84" s="99"/>
      <c r="N84" s="99"/>
      <c r="O84" s="99"/>
      <c r="P84" s="99"/>
      <c r="Q84" s="99"/>
      <c r="R84" s="99"/>
      <c r="S84" s="99"/>
      <c r="T84" s="99"/>
      <c r="U84" s="99"/>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100"/>
      <c r="BC84" s="100"/>
      <c r="BD84" s="100"/>
      <c r="BE84" s="100"/>
      <c r="BF84" s="98"/>
      <c r="BG84" s="98"/>
      <c r="BH84" s="98"/>
      <c r="BI84" s="23"/>
    </row>
    <row r="85" spans="1:63" ht="20.25" customHeight="1" x14ac:dyDescent="0.25">
      <c r="A85" s="56"/>
      <c r="B85" s="77" t="s">
        <v>217</v>
      </c>
      <c r="C85" s="78"/>
      <c r="D85" s="78"/>
      <c r="E85" s="79"/>
      <c r="F85" s="99" t="s">
        <v>199</v>
      </c>
      <c r="G85" s="99"/>
      <c r="H85" s="99"/>
      <c r="I85" s="99"/>
      <c r="J85" s="99"/>
      <c r="K85" s="99"/>
      <c r="L85" s="99"/>
      <c r="M85" s="99"/>
      <c r="N85" s="99"/>
      <c r="O85" s="99"/>
      <c r="P85" s="99"/>
      <c r="Q85" s="99"/>
      <c r="R85" s="99"/>
      <c r="S85" s="99"/>
      <c r="T85" s="99"/>
      <c r="U85" s="99"/>
      <c r="V85" s="98">
        <v>21</v>
      </c>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100" t="s">
        <v>202</v>
      </c>
      <c r="BC85" s="100"/>
      <c r="BD85" s="100"/>
      <c r="BE85" s="100"/>
      <c r="BF85" s="98"/>
      <c r="BG85" s="98"/>
      <c r="BH85" s="98"/>
      <c r="BI85" s="23"/>
    </row>
    <row r="86" spans="1:63" ht="24.75" customHeight="1" x14ac:dyDescent="0.25">
      <c r="A86" s="56"/>
      <c r="B86" s="98" t="s">
        <v>185</v>
      </c>
      <c r="C86" s="98"/>
      <c r="D86" s="98"/>
      <c r="E86" s="98"/>
      <c r="F86" s="101" t="s">
        <v>223</v>
      </c>
      <c r="G86" s="101"/>
      <c r="H86" s="101"/>
      <c r="I86" s="101"/>
      <c r="J86" s="101"/>
      <c r="K86" s="101"/>
      <c r="L86" s="101"/>
      <c r="M86" s="101"/>
      <c r="N86" s="101"/>
      <c r="O86" s="101"/>
      <c r="P86" s="101"/>
      <c r="Q86" s="101"/>
      <c r="R86" s="101"/>
      <c r="S86" s="101"/>
      <c r="T86" s="101"/>
      <c r="U86" s="101"/>
      <c r="V86" s="98">
        <v>9</v>
      </c>
      <c r="W86" s="98"/>
      <c r="X86" s="98"/>
      <c r="Y86" s="98"/>
      <c r="Z86" s="98"/>
      <c r="AA86" s="98"/>
      <c r="AB86" s="98"/>
      <c r="AC86" s="98"/>
      <c r="AD86" s="98"/>
      <c r="AE86" s="115"/>
      <c r="AF86" s="116"/>
      <c r="AG86" s="117"/>
      <c r="AH86" s="98"/>
      <c r="AI86" s="98"/>
      <c r="AJ86" s="98"/>
      <c r="AK86" s="98"/>
      <c r="AL86" s="98"/>
      <c r="AM86" s="98"/>
      <c r="AN86" s="98"/>
      <c r="AO86" s="98"/>
      <c r="AP86" s="98"/>
      <c r="AQ86" s="98"/>
      <c r="AR86" s="98"/>
      <c r="AS86" s="98"/>
      <c r="AT86" s="98"/>
      <c r="AU86" s="98"/>
      <c r="AV86" s="98"/>
      <c r="AW86" s="98"/>
      <c r="AX86" s="98"/>
      <c r="AY86" s="98"/>
      <c r="AZ86" s="98"/>
      <c r="BA86" s="98"/>
      <c r="BB86" s="100" t="s">
        <v>202</v>
      </c>
      <c r="BC86" s="100"/>
      <c r="BD86" s="100"/>
      <c r="BE86" s="100"/>
      <c r="BF86" s="98"/>
      <c r="BG86" s="98"/>
      <c r="BH86" s="98"/>
      <c r="BI86" s="23"/>
    </row>
    <row r="87" spans="1:63" ht="24" customHeight="1" x14ac:dyDescent="0.25">
      <c r="A87" s="56"/>
      <c r="B87" s="98"/>
      <c r="C87" s="98"/>
      <c r="D87" s="98"/>
      <c r="E87" s="98"/>
      <c r="F87" s="120" t="s">
        <v>39</v>
      </c>
      <c r="G87" s="120"/>
      <c r="H87" s="120"/>
      <c r="I87" s="120"/>
      <c r="J87" s="120"/>
      <c r="K87" s="120"/>
      <c r="L87" s="120"/>
      <c r="M87" s="120"/>
      <c r="N87" s="120"/>
      <c r="O87" s="120"/>
      <c r="P87" s="120"/>
      <c r="Q87" s="120"/>
      <c r="R87" s="120"/>
      <c r="S87" s="120"/>
      <c r="T87" s="120"/>
      <c r="U87" s="120"/>
      <c r="V87" s="109">
        <f>V70+V46+V36+V86+V85+V81</f>
        <v>240</v>
      </c>
      <c r="W87" s="109"/>
      <c r="X87" s="109"/>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71"/>
    </row>
    <row r="88" spans="1:63" ht="28.5" customHeight="1" x14ac:dyDescent="0.35">
      <c r="A88" s="118" t="s">
        <v>89</v>
      </c>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7"/>
      <c r="BC88" s="7"/>
      <c r="BD88" s="7"/>
      <c r="BE88" s="7"/>
      <c r="BF88" s="7"/>
      <c r="BG88" s="7"/>
      <c r="BH88" s="7"/>
      <c r="BI88" s="72"/>
    </row>
    <row r="89" spans="1:63" ht="5.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2"/>
    </row>
    <row r="90" spans="1:63" s="16" customFormat="1" ht="45" customHeight="1" x14ac:dyDescent="0.3">
      <c r="A90" s="109" t="s">
        <v>67</v>
      </c>
      <c r="B90" s="109"/>
      <c r="C90" s="109"/>
      <c r="D90" s="109" t="s">
        <v>68</v>
      </c>
      <c r="E90" s="109"/>
      <c r="F90" s="109"/>
      <c r="G90" s="109"/>
      <c r="H90" s="109"/>
      <c r="I90" s="114" t="s">
        <v>69</v>
      </c>
      <c r="J90" s="114"/>
      <c r="K90" s="114"/>
      <c r="L90" s="114"/>
      <c r="M90" s="114"/>
      <c r="N90" s="114"/>
      <c r="O90" s="114"/>
      <c r="P90" s="114" t="s">
        <v>82</v>
      </c>
      <c r="Q90" s="114"/>
      <c r="R90" s="114"/>
      <c r="S90" s="114"/>
      <c r="T90" s="114"/>
      <c r="U90" s="114"/>
      <c r="V90" s="114" t="s">
        <v>83</v>
      </c>
      <c r="W90" s="114"/>
      <c r="X90" s="114"/>
      <c r="Y90" s="114"/>
      <c r="Z90" s="114"/>
      <c r="AA90" s="114"/>
      <c r="AB90" s="114"/>
      <c r="AC90" s="111" t="s">
        <v>199</v>
      </c>
      <c r="AD90" s="112"/>
      <c r="AE90" s="112"/>
      <c r="AF90" s="112"/>
      <c r="AG90" s="112"/>
      <c r="AH90" s="112"/>
      <c r="AI90" s="113"/>
      <c r="AJ90" s="114" t="s">
        <v>222</v>
      </c>
      <c r="AK90" s="114"/>
      <c r="AL90" s="114"/>
      <c r="AM90" s="114"/>
      <c r="AN90" s="114"/>
      <c r="AO90" s="114"/>
      <c r="AP90" s="114"/>
      <c r="AQ90" s="109" t="s">
        <v>70</v>
      </c>
      <c r="AR90" s="109"/>
      <c r="AS90" s="109"/>
      <c r="AT90" s="109"/>
      <c r="AU90" s="73"/>
      <c r="AV90" s="73"/>
      <c r="AW90" s="73"/>
      <c r="AX90" s="74"/>
      <c r="AY90" s="74"/>
      <c r="AZ90" s="74"/>
      <c r="BA90" s="74"/>
      <c r="BB90" s="74"/>
      <c r="BC90" s="74"/>
      <c r="BD90" s="74"/>
      <c r="BE90" s="74"/>
      <c r="BF90" s="74"/>
      <c r="BG90" s="74"/>
      <c r="BH90" s="74"/>
      <c r="BI90" s="72"/>
      <c r="BJ90" s="25"/>
      <c r="BK90" s="24"/>
    </row>
    <row r="91" spans="1:63" ht="21.75" customHeight="1" x14ac:dyDescent="0.25">
      <c r="A91" s="98" t="s">
        <v>30</v>
      </c>
      <c r="B91" s="98"/>
      <c r="C91" s="98"/>
      <c r="D91" s="98">
        <v>30</v>
      </c>
      <c r="E91" s="98"/>
      <c r="F91" s="98"/>
      <c r="G91" s="98"/>
      <c r="H91" s="98"/>
      <c r="I91" s="98">
        <v>9</v>
      </c>
      <c r="J91" s="98"/>
      <c r="K91" s="98"/>
      <c r="L91" s="98"/>
      <c r="M91" s="98"/>
      <c r="N91" s="98"/>
      <c r="O91" s="98"/>
      <c r="P91" s="98">
        <v>6</v>
      </c>
      <c r="Q91" s="98"/>
      <c r="R91" s="98"/>
      <c r="S91" s="98"/>
      <c r="T91" s="98"/>
      <c r="U91" s="98"/>
      <c r="V91" s="98">
        <v>9</v>
      </c>
      <c r="W91" s="98"/>
      <c r="X91" s="98"/>
      <c r="Y91" s="98"/>
      <c r="Z91" s="98"/>
      <c r="AA91" s="98"/>
      <c r="AB91" s="98"/>
      <c r="AC91" s="98"/>
      <c r="AD91" s="98"/>
      <c r="AE91" s="98"/>
      <c r="AF91" s="98"/>
      <c r="AG91" s="98"/>
      <c r="AH91" s="98"/>
      <c r="AI91" s="98"/>
      <c r="AJ91" s="98"/>
      <c r="AK91" s="98"/>
      <c r="AL91" s="98"/>
      <c r="AM91" s="98"/>
      <c r="AN91" s="98"/>
      <c r="AO91" s="98"/>
      <c r="AP91" s="98"/>
      <c r="AQ91" s="98">
        <v>2</v>
      </c>
      <c r="AR91" s="98"/>
      <c r="AS91" s="98"/>
      <c r="AT91" s="98"/>
      <c r="AX91" s="7"/>
      <c r="AY91" s="7"/>
      <c r="AZ91" s="7"/>
      <c r="BA91" s="7"/>
      <c r="BB91" s="7"/>
      <c r="BC91" s="7"/>
      <c r="BD91" s="7"/>
      <c r="BE91" s="7"/>
      <c r="BF91" s="7"/>
      <c r="BG91" s="7"/>
      <c r="BH91" s="7"/>
      <c r="BI91" s="72"/>
    </row>
    <row r="92" spans="1:63" ht="21.75" customHeight="1" x14ac:dyDescent="0.25">
      <c r="A92" s="98" t="s">
        <v>32</v>
      </c>
      <c r="B92" s="98"/>
      <c r="C92" s="98"/>
      <c r="D92" s="98">
        <v>30</v>
      </c>
      <c r="E92" s="98"/>
      <c r="F92" s="98"/>
      <c r="G92" s="98"/>
      <c r="H92" s="98"/>
      <c r="I92" s="98">
        <v>9</v>
      </c>
      <c r="J92" s="98"/>
      <c r="K92" s="98"/>
      <c r="L92" s="98"/>
      <c r="M92" s="98"/>
      <c r="N92" s="98"/>
      <c r="O92" s="98"/>
      <c r="P92" s="98"/>
      <c r="Q92" s="98"/>
      <c r="R92" s="98"/>
      <c r="S92" s="98"/>
      <c r="T92" s="98"/>
      <c r="U92" s="98"/>
      <c r="V92" s="98">
        <v>13</v>
      </c>
      <c r="W92" s="98"/>
      <c r="X92" s="98"/>
      <c r="Y92" s="98"/>
      <c r="Z92" s="98"/>
      <c r="AA92" s="98"/>
      <c r="AB92" s="98"/>
      <c r="AC92" s="98"/>
      <c r="AD92" s="98"/>
      <c r="AE92" s="98"/>
      <c r="AF92" s="98"/>
      <c r="AG92" s="98"/>
      <c r="AH92" s="98"/>
      <c r="AI92" s="98"/>
      <c r="AJ92" s="98"/>
      <c r="AK92" s="98"/>
      <c r="AL92" s="98"/>
      <c r="AM92" s="98"/>
      <c r="AN92" s="98"/>
      <c r="AO92" s="98"/>
      <c r="AP92" s="98"/>
      <c r="AQ92" s="98">
        <v>4</v>
      </c>
      <c r="AR92" s="98"/>
      <c r="AS92" s="98"/>
      <c r="AT92" s="98"/>
      <c r="AX92" s="7"/>
      <c r="AY92" s="7"/>
      <c r="AZ92" s="7"/>
      <c r="BA92" s="7"/>
      <c r="BB92" s="7"/>
      <c r="BC92" s="7"/>
      <c r="BD92" s="7"/>
      <c r="BE92" s="7"/>
      <c r="BF92" s="7"/>
      <c r="BG92" s="7"/>
      <c r="BH92" s="7"/>
      <c r="BI92" s="72"/>
    </row>
    <row r="93" spans="1:63" ht="20.25" customHeight="1" x14ac:dyDescent="0.25">
      <c r="A93" s="98" t="s">
        <v>34</v>
      </c>
      <c r="B93" s="98"/>
      <c r="C93" s="98"/>
      <c r="D93" s="98">
        <v>30</v>
      </c>
      <c r="E93" s="98"/>
      <c r="F93" s="98"/>
      <c r="G93" s="98"/>
      <c r="H93" s="98"/>
      <c r="I93" s="98">
        <v>9</v>
      </c>
      <c r="J93" s="98"/>
      <c r="K93" s="98"/>
      <c r="L93" s="98"/>
      <c r="M93" s="98"/>
      <c r="N93" s="98"/>
      <c r="O93" s="98"/>
      <c r="P93" s="98"/>
      <c r="Q93" s="98"/>
      <c r="R93" s="98"/>
      <c r="S93" s="98"/>
      <c r="T93" s="98"/>
      <c r="U93" s="98"/>
      <c r="V93" s="98">
        <v>10</v>
      </c>
      <c r="W93" s="98"/>
      <c r="X93" s="98"/>
      <c r="Y93" s="98"/>
      <c r="Z93" s="98"/>
      <c r="AA93" s="98"/>
      <c r="AB93" s="98"/>
      <c r="AC93" s="98"/>
      <c r="AD93" s="98"/>
      <c r="AE93" s="98"/>
      <c r="AF93" s="98"/>
      <c r="AG93" s="98"/>
      <c r="AH93" s="98"/>
      <c r="AI93" s="98"/>
      <c r="AJ93" s="98"/>
      <c r="AK93" s="98"/>
      <c r="AL93" s="98"/>
      <c r="AM93" s="98"/>
      <c r="AN93" s="98"/>
      <c r="AO93" s="98"/>
      <c r="AP93" s="98"/>
      <c r="AQ93" s="98">
        <v>4</v>
      </c>
      <c r="AR93" s="98"/>
      <c r="AS93" s="98"/>
      <c r="AT93" s="98"/>
      <c r="AX93" s="7"/>
      <c r="AY93" s="7"/>
      <c r="AZ93" s="7"/>
      <c r="BA93" s="7"/>
      <c r="BB93" s="7"/>
      <c r="BC93" s="7"/>
      <c r="BD93" s="7"/>
      <c r="BE93" s="7"/>
      <c r="BF93" s="7"/>
      <c r="BG93" s="7"/>
      <c r="BH93" s="7"/>
      <c r="BI93" s="72"/>
    </row>
    <row r="94" spans="1:63" ht="20.25" customHeight="1" x14ac:dyDescent="0.25">
      <c r="A94" s="98" t="s">
        <v>35</v>
      </c>
      <c r="B94" s="98"/>
      <c r="C94" s="98"/>
      <c r="D94" s="98">
        <v>15</v>
      </c>
      <c r="E94" s="98"/>
      <c r="F94" s="98"/>
      <c r="G94" s="98"/>
      <c r="H94" s="98"/>
      <c r="I94" s="98">
        <v>5</v>
      </c>
      <c r="J94" s="98"/>
      <c r="K94" s="98"/>
      <c r="L94" s="98"/>
      <c r="M94" s="98"/>
      <c r="N94" s="98"/>
      <c r="O94" s="98"/>
      <c r="P94" s="98"/>
      <c r="Q94" s="98"/>
      <c r="R94" s="98"/>
      <c r="S94" s="98"/>
      <c r="T94" s="98"/>
      <c r="U94" s="98"/>
      <c r="V94" s="98"/>
      <c r="W94" s="98"/>
      <c r="X94" s="98"/>
      <c r="Y94" s="98"/>
      <c r="Z94" s="98"/>
      <c r="AA94" s="98"/>
      <c r="AB94" s="98"/>
      <c r="AC94" s="98">
        <v>14</v>
      </c>
      <c r="AD94" s="98"/>
      <c r="AE94" s="98"/>
      <c r="AF94" s="98"/>
      <c r="AG94" s="98"/>
      <c r="AH94" s="98"/>
      <c r="AI94" s="98"/>
      <c r="AJ94" s="98">
        <v>6</v>
      </c>
      <c r="AK94" s="98"/>
      <c r="AL94" s="98"/>
      <c r="AM94" s="98"/>
      <c r="AN94" s="98"/>
      <c r="AO94" s="98"/>
      <c r="AP94" s="98"/>
      <c r="AQ94" s="98">
        <v>3</v>
      </c>
      <c r="AR94" s="98"/>
      <c r="AS94" s="98"/>
      <c r="AT94" s="98"/>
      <c r="AX94" s="7"/>
      <c r="AY94" s="7"/>
      <c r="AZ94" s="7"/>
      <c r="BA94" s="7"/>
      <c r="BB94" s="7"/>
      <c r="BC94" s="7"/>
      <c r="BD94" s="7"/>
      <c r="BE94" s="7"/>
      <c r="BF94" s="7"/>
      <c r="BG94" s="7"/>
      <c r="BH94" s="7"/>
      <c r="BI94" s="72"/>
    </row>
    <row r="95" spans="1:63" ht="24.9" customHeight="1" x14ac:dyDescent="0.25">
      <c r="A95" s="100" t="s">
        <v>39</v>
      </c>
      <c r="B95" s="100"/>
      <c r="C95" s="100"/>
      <c r="D95" s="100">
        <f>SUM(D91:D94)</f>
        <v>105</v>
      </c>
      <c r="E95" s="100"/>
      <c r="F95" s="100"/>
      <c r="G95" s="100"/>
      <c r="H95" s="100"/>
      <c r="I95" s="100">
        <f>SUM(I91:I94)</f>
        <v>32</v>
      </c>
      <c r="J95" s="100"/>
      <c r="K95" s="100"/>
      <c r="L95" s="100"/>
      <c r="M95" s="100"/>
      <c r="N95" s="100"/>
      <c r="O95" s="100"/>
      <c r="P95" s="100">
        <f>SUM(P91:P94)</f>
        <v>6</v>
      </c>
      <c r="Q95" s="100"/>
      <c r="R95" s="100"/>
      <c r="S95" s="100"/>
      <c r="T95" s="100"/>
      <c r="U95" s="100"/>
      <c r="V95" s="100">
        <f>SUM(V91:V94)</f>
        <v>32</v>
      </c>
      <c r="W95" s="100"/>
      <c r="X95" s="100"/>
      <c r="Y95" s="100"/>
      <c r="Z95" s="100"/>
      <c r="AA95" s="100"/>
      <c r="AB95" s="100"/>
      <c r="AC95" s="100">
        <f>SUM(AC91:AC94)</f>
        <v>14</v>
      </c>
      <c r="AD95" s="100"/>
      <c r="AE95" s="100"/>
      <c r="AF95" s="100"/>
      <c r="AG95" s="100"/>
      <c r="AH95" s="100"/>
      <c r="AI95" s="100"/>
      <c r="AJ95" s="100">
        <f>SUM(AJ91:AJ94)</f>
        <v>6</v>
      </c>
      <c r="AK95" s="100"/>
      <c r="AL95" s="100"/>
      <c r="AM95" s="100"/>
      <c r="AN95" s="100"/>
      <c r="AO95" s="100"/>
      <c r="AP95" s="100"/>
      <c r="AQ95" s="100">
        <f>SUM(AQ91:AQ94)</f>
        <v>13</v>
      </c>
      <c r="AR95" s="100"/>
      <c r="AS95" s="100"/>
      <c r="AT95" s="100"/>
      <c r="AX95" s="7"/>
      <c r="AY95" s="7"/>
      <c r="AZ95" s="7"/>
      <c r="BA95" s="7"/>
      <c r="BB95" s="7"/>
      <c r="BC95" s="7"/>
      <c r="BD95" s="7"/>
      <c r="BE95" s="7"/>
      <c r="BF95" s="7"/>
      <c r="BG95" s="7"/>
      <c r="BH95" s="7"/>
      <c r="BI95" s="72"/>
    </row>
    <row r="96" spans="1:63" ht="24.9" customHeight="1" x14ac:dyDescent="0.2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X96" s="7"/>
      <c r="AY96" s="7"/>
      <c r="AZ96" s="7"/>
      <c r="BA96" s="7"/>
      <c r="BB96" s="7"/>
      <c r="BC96" s="7"/>
      <c r="BD96" s="7"/>
      <c r="BE96" s="7"/>
      <c r="BF96" s="7"/>
      <c r="BG96" s="7"/>
      <c r="BH96" s="7"/>
      <c r="BI96" s="72"/>
    </row>
    <row r="97" spans="1:63" ht="9"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9"/>
      <c r="AI97" s="9"/>
      <c r="AJ97" s="8"/>
      <c r="AK97" s="9"/>
      <c r="AL97" s="9"/>
      <c r="AM97" s="9"/>
      <c r="AN97" s="9"/>
      <c r="AO97" s="10"/>
      <c r="AP97" s="10"/>
      <c r="AQ97" s="10"/>
      <c r="AR97" s="10"/>
      <c r="AS97" s="10"/>
      <c r="AT97" s="10"/>
      <c r="AU97" s="10"/>
      <c r="AV97" s="10"/>
      <c r="AW97" s="10"/>
      <c r="AX97" s="10"/>
      <c r="AY97" s="10"/>
      <c r="AZ97" s="10"/>
      <c r="BA97" s="10"/>
      <c r="BB97" s="7"/>
      <c r="BC97" s="7"/>
      <c r="BD97" s="7"/>
      <c r="BE97" s="7"/>
      <c r="BF97" s="7"/>
      <c r="BG97" s="7"/>
      <c r="BH97" s="7"/>
      <c r="BI97" s="72"/>
    </row>
    <row r="98" spans="1:63" ht="87" customHeight="1" x14ac:dyDescent="0.25">
      <c r="A98" s="102" t="s">
        <v>242</v>
      </c>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76"/>
    </row>
    <row r="99" spans="1:63" ht="42.75" customHeight="1" x14ac:dyDescent="0.25">
      <c r="A99" s="110" t="s">
        <v>270</v>
      </c>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row>
    <row r="100" spans="1:63" ht="30" customHeight="1" x14ac:dyDescent="0.35">
      <c r="A100" s="107" t="s">
        <v>269</v>
      </c>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row>
    <row r="101" spans="1:63" ht="11.25"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3" ht="11.25"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3" s="21" customFormat="1" ht="33" customHeight="1" x14ac:dyDescent="0.4">
      <c r="A103" s="5"/>
      <c r="B103" s="5" t="s">
        <v>243</v>
      </c>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106"/>
      <c r="AE103" s="106"/>
      <c r="AF103" s="106"/>
      <c r="AG103" s="106"/>
      <c r="AH103" s="106"/>
      <c r="AI103" s="106"/>
      <c r="AJ103" s="106"/>
      <c r="AK103" s="5" t="s">
        <v>244</v>
      </c>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24"/>
      <c r="BJ103" s="25"/>
      <c r="BK103" s="24"/>
    </row>
    <row r="104" spans="1:63" s="21" customFormat="1" ht="33" customHeight="1" x14ac:dyDescent="0.4">
      <c r="A104" s="5"/>
      <c r="B104" s="5" t="s">
        <v>245</v>
      </c>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106"/>
      <c r="AE104" s="106"/>
      <c r="AF104" s="106"/>
      <c r="AG104" s="106"/>
      <c r="AH104" s="106"/>
      <c r="AI104" s="106"/>
      <c r="AJ104" s="106"/>
      <c r="AK104" s="5" t="s">
        <v>190</v>
      </c>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24"/>
      <c r="BJ104" s="25"/>
      <c r="BK104" s="24"/>
    </row>
    <row r="105" spans="1:63" s="21" customFormat="1" ht="33" customHeight="1" x14ac:dyDescent="0.4">
      <c r="A105" s="5"/>
      <c r="B105" s="108" t="s">
        <v>95</v>
      </c>
      <c r="C105" s="108"/>
      <c r="D105" s="108"/>
      <c r="E105" s="108"/>
      <c r="F105" s="108"/>
      <c r="G105" s="108"/>
      <c r="H105" s="108"/>
      <c r="I105" s="108"/>
      <c r="J105" s="108"/>
      <c r="K105" s="108"/>
      <c r="L105" s="108"/>
      <c r="M105" s="108"/>
      <c r="N105" s="108"/>
      <c r="O105" s="108"/>
      <c r="P105" s="108"/>
      <c r="Q105" s="108"/>
      <c r="R105" s="5"/>
      <c r="S105" s="5"/>
      <c r="T105" s="5"/>
      <c r="U105" s="5"/>
      <c r="V105" s="5"/>
      <c r="W105" s="5"/>
      <c r="X105" s="5"/>
      <c r="Y105" s="5"/>
      <c r="Z105" s="5"/>
      <c r="AA105" s="5"/>
      <c r="AB105" s="5"/>
      <c r="AC105" s="5"/>
      <c r="AD105" s="12"/>
      <c r="AE105" s="12"/>
      <c r="AF105" s="12"/>
      <c r="AG105" s="12"/>
      <c r="AH105" s="12"/>
      <c r="AI105" s="12"/>
      <c r="AJ105" s="12"/>
      <c r="AK105" s="5" t="s">
        <v>191</v>
      </c>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24"/>
      <c r="BJ105" s="25"/>
      <c r="BK105" s="24"/>
    </row>
    <row r="106" spans="1:63" s="21" customFormat="1" ht="33" customHeight="1" x14ac:dyDescent="0.4">
      <c r="A106" s="5"/>
      <c r="B106" s="5" t="s">
        <v>91</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t="s">
        <v>192</v>
      </c>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24"/>
      <c r="BJ106" s="25"/>
      <c r="BK106" s="24"/>
    </row>
    <row r="107" spans="1:63" ht="1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row>
    <row r="108" spans="1:63" s="21" customFormat="1" ht="31.5" customHeight="1" x14ac:dyDescent="0.4">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24"/>
      <c r="BJ108" s="25"/>
      <c r="BK108" s="24"/>
    </row>
    <row r="109" spans="1:63" ht="17.399999999999999"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row>
    <row r="110" spans="1:63" ht="17.399999999999999"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row>
    <row r="111" spans="1:63" ht="17.399999999999999"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row>
    <row r="112" spans="1:63" ht="17.399999999999999"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row>
    <row r="113" spans="1:60" ht="17.399999999999999"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row>
    <row r="114" spans="1:60" ht="17.399999999999999"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row>
    <row r="115" spans="1:60" ht="17.399999999999999"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row>
    <row r="116" spans="1:60" ht="17.399999999999999"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row>
    <row r="117" spans="1:60" ht="17.399999999999999"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row>
    <row r="118" spans="1:60" ht="17.399999999999999"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row>
    <row r="119" spans="1:60" ht="17.399999999999999"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row>
    <row r="120" spans="1:60" ht="17.399999999999999"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row>
    <row r="121" spans="1:60" ht="17.399999999999999"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row>
    <row r="122" spans="1:60" ht="17.399999999999999"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row>
    <row r="123" spans="1:60" ht="17.399999999999999"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row>
    <row r="124" spans="1:60" ht="17.399999999999999"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row>
    <row r="125" spans="1:60" ht="17.399999999999999"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row>
    <row r="126" spans="1:60" ht="17.399999999999999"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row>
    <row r="127" spans="1:60" ht="17.399999999999999"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row>
    <row r="128" spans="1:60" ht="17.399999999999999"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row>
  </sheetData>
  <autoFilter ref="BB33:BE86" xr:uid="{00000000-0009-0000-0000-000000000000}">
    <filterColumn colId="0" showButton="0"/>
    <filterColumn colId="1" showButton="0"/>
    <filterColumn colId="2" showButton="0"/>
  </autoFilter>
  <mergeCells count="858">
    <mergeCell ref="AO8:BH8"/>
    <mergeCell ref="AO9:BH9"/>
    <mergeCell ref="AO10:BH10"/>
    <mergeCell ref="AO11:BH11"/>
    <mergeCell ref="AO12:BH12"/>
    <mergeCell ref="A7:R7"/>
    <mergeCell ref="A8:R8"/>
    <mergeCell ref="A9:R9"/>
    <mergeCell ref="A11:R11"/>
    <mergeCell ref="A12:R12"/>
    <mergeCell ref="B57:E57"/>
    <mergeCell ref="B56:E56"/>
    <mergeCell ref="F62:U62"/>
    <mergeCell ref="B66:E66"/>
    <mergeCell ref="B61:E61"/>
    <mergeCell ref="F60:U60"/>
    <mergeCell ref="AH65:AJ65"/>
    <mergeCell ref="AK65:AM65"/>
    <mergeCell ref="AB68:AD68"/>
    <mergeCell ref="B75:E75"/>
    <mergeCell ref="B74:E74"/>
    <mergeCell ref="B73:E73"/>
    <mergeCell ref="B67:E67"/>
    <mergeCell ref="B72:E72"/>
    <mergeCell ref="B71:E71"/>
    <mergeCell ref="B62:E62"/>
    <mergeCell ref="B69:E69"/>
    <mergeCell ref="B70:E70"/>
    <mergeCell ref="B65:E65"/>
    <mergeCell ref="B63:E63"/>
    <mergeCell ref="B64:E64"/>
    <mergeCell ref="B68:E68"/>
    <mergeCell ref="AW20:AW21"/>
    <mergeCell ref="AX20:BA20"/>
    <mergeCell ref="AB59:AD59"/>
    <mergeCell ref="AH59:AJ59"/>
    <mergeCell ref="B59:E59"/>
    <mergeCell ref="B58:E58"/>
    <mergeCell ref="B60:E60"/>
    <mergeCell ref="AQ64:AS64"/>
    <mergeCell ref="AQ61:AS61"/>
    <mergeCell ref="AQ62:AS62"/>
    <mergeCell ref="AN59:AP59"/>
    <mergeCell ref="V64:X64"/>
    <mergeCell ref="AN61:AP61"/>
    <mergeCell ref="AN63:AP63"/>
    <mergeCell ref="AN60:AP60"/>
    <mergeCell ref="AN48:AP48"/>
    <mergeCell ref="AN51:AP51"/>
    <mergeCell ref="AN62:AP62"/>
    <mergeCell ref="B41:E41"/>
    <mergeCell ref="B47:E47"/>
    <mergeCell ref="B37:E37"/>
    <mergeCell ref="F39:U39"/>
    <mergeCell ref="V40:X40"/>
    <mergeCell ref="AK48:AM48"/>
    <mergeCell ref="V63:X63"/>
    <mergeCell ref="F64:U64"/>
    <mergeCell ref="F63:U63"/>
    <mergeCell ref="V62:X62"/>
    <mergeCell ref="BB79:BE79"/>
    <mergeCell ref="AN64:AP64"/>
    <mergeCell ref="AN78:AP78"/>
    <mergeCell ref="AX73:BA73"/>
    <mergeCell ref="AX75:BA75"/>
    <mergeCell ref="AX74:BA74"/>
    <mergeCell ref="AX78:BA78"/>
    <mergeCell ref="AT73:AW73"/>
    <mergeCell ref="AT78:AW78"/>
    <mergeCell ref="AT74:AW74"/>
    <mergeCell ref="AN75:AP75"/>
    <mergeCell ref="AT75:AW75"/>
    <mergeCell ref="AT77:AW77"/>
    <mergeCell ref="AX77:BA77"/>
    <mergeCell ref="AK74:AM74"/>
    <mergeCell ref="AK73:AM73"/>
    <mergeCell ref="BF79:BH79"/>
    <mergeCell ref="AB80:AD80"/>
    <mergeCell ref="AE80:AG80"/>
    <mergeCell ref="AH80:AJ80"/>
    <mergeCell ref="AK80:AM80"/>
    <mergeCell ref="AN80:AP80"/>
    <mergeCell ref="AQ80:AS80"/>
    <mergeCell ref="AT80:AW80"/>
    <mergeCell ref="AX80:BA80"/>
    <mergeCell ref="AQ79:AS79"/>
    <mergeCell ref="AT79:AW79"/>
    <mergeCell ref="AX79:BA79"/>
    <mergeCell ref="AK79:AM79"/>
    <mergeCell ref="AN79:AP79"/>
    <mergeCell ref="AX85:BA85"/>
    <mergeCell ref="BB85:BE85"/>
    <mergeCell ref="AT81:AW81"/>
    <mergeCell ref="AX81:BA81"/>
    <mergeCell ref="BB81:BE81"/>
    <mergeCell ref="AK81:AM81"/>
    <mergeCell ref="AN81:AP81"/>
    <mergeCell ref="B79:E79"/>
    <mergeCell ref="BF81:BH81"/>
    <mergeCell ref="F80:U80"/>
    <mergeCell ref="F79:U79"/>
    <mergeCell ref="BF80:BH80"/>
    <mergeCell ref="BB80:BE80"/>
    <mergeCell ref="AE79:AG79"/>
    <mergeCell ref="BF85:BH85"/>
    <mergeCell ref="AH85:AJ85"/>
    <mergeCell ref="Y84:AA84"/>
    <mergeCell ref="AB84:AD84"/>
    <mergeCell ref="AE84:AG84"/>
    <mergeCell ref="V81:X81"/>
    <mergeCell ref="BF84:BH84"/>
    <mergeCell ref="B82:E82"/>
    <mergeCell ref="F82:U82"/>
    <mergeCell ref="V82:X82"/>
    <mergeCell ref="F37:U37"/>
    <mergeCell ref="V37:X37"/>
    <mergeCell ref="V36:X36"/>
    <mergeCell ref="AX36:BA36"/>
    <mergeCell ref="AK36:AM36"/>
    <mergeCell ref="AT37:AW37"/>
    <mergeCell ref="AQ37:AS37"/>
    <mergeCell ref="AT35:AW35"/>
    <mergeCell ref="BB62:BE62"/>
    <mergeCell ref="BB46:BE46"/>
    <mergeCell ref="BB55:BE55"/>
    <mergeCell ref="AQ51:AS51"/>
    <mergeCell ref="AQ47:AS47"/>
    <mergeCell ref="AT55:AW55"/>
    <mergeCell ref="AT54:AW54"/>
    <mergeCell ref="AQ54:AS54"/>
    <mergeCell ref="AQ53:AS53"/>
    <mergeCell ref="AX53:BA53"/>
    <mergeCell ref="AQ48:AS48"/>
    <mergeCell ref="AT48:AW48"/>
    <mergeCell ref="AX48:BA48"/>
    <mergeCell ref="BB48:BE48"/>
    <mergeCell ref="AT61:AW61"/>
    <mergeCell ref="AX62:BA62"/>
    <mergeCell ref="AX43:BA43"/>
    <mergeCell ref="BB43:BE43"/>
    <mergeCell ref="BF43:BH43"/>
    <mergeCell ref="BB47:BE47"/>
    <mergeCell ref="BF44:BH44"/>
    <mergeCell ref="BB45:BE45"/>
    <mergeCell ref="BF45:BH45"/>
    <mergeCell ref="AX46:BA46"/>
    <mergeCell ref="BF46:BH46"/>
    <mergeCell ref="AT44:AW44"/>
    <mergeCell ref="AX44:BA44"/>
    <mergeCell ref="BB44:BE44"/>
    <mergeCell ref="BF53:BH53"/>
    <mergeCell ref="BB50:BE50"/>
    <mergeCell ref="AT52:AW52"/>
    <mergeCell ref="BB51:BE51"/>
    <mergeCell ref="AX51:BA51"/>
    <mergeCell ref="AT50:AW50"/>
    <mergeCell ref="AT51:AW51"/>
    <mergeCell ref="AX50:BA50"/>
    <mergeCell ref="AX47:BA47"/>
    <mergeCell ref="AT46:AW46"/>
    <mergeCell ref="BF50:BH50"/>
    <mergeCell ref="AT45:AW45"/>
    <mergeCell ref="AX45:BA45"/>
    <mergeCell ref="AT47:AW47"/>
    <mergeCell ref="BF47:BH47"/>
    <mergeCell ref="BF52:BH52"/>
    <mergeCell ref="BF48:BH48"/>
    <mergeCell ref="BF51:BH51"/>
    <mergeCell ref="AX52:BA52"/>
    <mergeCell ref="BF49:BH49"/>
    <mergeCell ref="AT53:AW53"/>
    <mergeCell ref="AT40:AW40"/>
    <mergeCell ref="AQ41:AS41"/>
    <mergeCell ref="AX39:BA39"/>
    <mergeCell ref="BF42:BH42"/>
    <mergeCell ref="BB41:BE41"/>
    <mergeCell ref="BB39:BE39"/>
    <mergeCell ref="BB42:BE42"/>
    <mergeCell ref="AQ40:AS40"/>
    <mergeCell ref="BF39:BH39"/>
    <mergeCell ref="AX42:BA42"/>
    <mergeCell ref="AT41:AW41"/>
    <mergeCell ref="BF41:BH41"/>
    <mergeCell ref="B50:E50"/>
    <mergeCell ref="B51:E51"/>
    <mergeCell ref="AH50:AJ50"/>
    <mergeCell ref="AB44:AD44"/>
    <mergeCell ref="AB51:AD51"/>
    <mergeCell ref="B46:E46"/>
    <mergeCell ref="AE50:AG50"/>
    <mergeCell ref="AE51:AG51"/>
    <mergeCell ref="AH46:AJ46"/>
    <mergeCell ref="F51:U51"/>
    <mergeCell ref="V50:X50"/>
    <mergeCell ref="Y50:AA50"/>
    <mergeCell ref="Y51:AA51"/>
    <mergeCell ref="AB46:AD46"/>
    <mergeCell ref="Y47:AA47"/>
    <mergeCell ref="V51:X51"/>
    <mergeCell ref="B48:E48"/>
    <mergeCell ref="F48:U48"/>
    <mergeCell ref="V48:X48"/>
    <mergeCell ref="Y48:AA48"/>
    <mergeCell ref="AB48:AD48"/>
    <mergeCell ref="AE48:AG48"/>
    <mergeCell ref="AB45:AD45"/>
    <mergeCell ref="AB49:AD49"/>
    <mergeCell ref="S20:S21"/>
    <mergeCell ref="AN34:AP34"/>
    <mergeCell ref="B20:E20"/>
    <mergeCell ref="F20:F21"/>
    <mergeCell ref="O20:R20"/>
    <mergeCell ref="I27:M27"/>
    <mergeCell ref="AQ34:AS34"/>
    <mergeCell ref="AE35:AG35"/>
    <mergeCell ref="AB35:AD35"/>
    <mergeCell ref="AJ20:AJ21"/>
    <mergeCell ref="AK20:AN20"/>
    <mergeCell ref="T20:V20"/>
    <mergeCell ref="W20:W21"/>
    <mergeCell ref="AQ35:AS35"/>
    <mergeCell ref="Y33:AA34"/>
    <mergeCell ref="Y35:AA35"/>
    <mergeCell ref="F33:U34"/>
    <mergeCell ref="V33:X34"/>
    <mergeCell ref="AH35:AJ35"/>
    <mergeCell ref="AN35:AP35"/>
    <mergeCell ref="AK35:AM35"/>
    <mergeCell ref="V35:X35"/>
    <mergeCell ref="AK34:AM34"/>
    <mergeCell ref="F35:U35"/>
    <mergeCell ref="C27:F27"/>
    <mergeCell ref="AH33:AS33"/>
    <mergeCell ref="AB43:AD43"/>
    <mergeCell ref="AH42:AJ42"/>
    <mergeCell ref="A1:BH1"/>
    <mergeCell ref="A3:BH3"/>
    <mergeCell ref="A5:BH5"/>
    <mergeCell ref="G20:I20"/>
    <mergeCell ref="J20:J21"/>
    <mergeCell ref="AA20:AA21"/>
    <mergeCell ref="AB20:AE20"/>
    <mergeCell ref="AF20:AF21"/>
    <mergeCell ref="A18:AU18"/>
    <mergeCell ref="BD18:BH18"/>
    <mergeCell ref="BC19:BH19"/>
    <mergeCell ref="A20:A21"/>
    <mergeCell ref="AG20:AI20"/>
    <mergeCell ref="K20:N20"/>
    <mergeCell ref="AV16:BH16"/>
    <mergeCell ref="AV17:BH17"/>
    <mergeCell ref="X20:Z20"/>
    <mergeCell ref="AS20:AS21"/>
    <mergeCell ref="R6:AP6"/>
    <mergeCell ref="AO20:AR20"/>
    <mergeCell ref="A33:A34"/>
    <mergeCell ref="B33:E34"/>
    <mergeCell ref="A31:BH31"/>
    <mergeCell ref="B52:E52"/>
    <mergeCell ref="F40:U40"/>
    <mergeCell ref="AE33:AG34"/>
    <mergeCell ref="AH40:AJ40"/>
    <mergeCell ref="AB33:AD34"/>
    <mergeCell ref="AH34:AJ34"/>
    <mergeCell ref="Y36:AA36"/>
    <mergeCell ref="AB40:AD40"/>
    <mergeCell ref="B36:E36"/>
    <mergeCell ref="F36:U36"/>
    <mergeCell ref="AE37:AG37"/>
    <mergeCell ref="AH37:AJ37"/>
    <mergeCell ref="Y39:AA39"/>
    <mergeCell ref="AH47:AJ47"/>
    <mergeCell ref="AH44:AJ44"/>
    <mergeCell ref="B35:E35"/>
    <mergeCell ref="B40:E40"/>
    <mergeCell ref="V39:X39"/>
    <mergeCell ref="AB36:AD36"/>
    <mergeCell ref="F47:U47"/>
    <mergeCell ref="AE47:AG47"/>
    <mergeCell ref="V61:X61"/>
    <mergeCell ref="Y59:AA59"/>
    <mergeCell ref="AB56:AD56"/>
    <mergeCell ref="AE56:AG56"/>
    <mergeCell ref="AE57:AG57"/>
    <mergeCell ref="F50:U50"/>
    <mergeCell ref="AB50:AD50"/>
    <mergeCell ref="AB58:AD58"/>
    <mergeCell ref="Y55:AA55"/>
    <mergeCell ref="Y52:AA52"/>
    <mergeCell ref="AB54:AD54"/>
    <mergeCell ref="AE55:AG55"/>
    <mergeCell ref="AB60:AD60"/>
    <mergeCell ref="F61:U61"/>
    <mergeCell ref="V59:X59"/>
    <mergeCell ref="AE54:AG54"/>
    <mergeCell ref="AB57:AD57"/>
    <mergeCell ref="V60:X60"/>
    <mergeCell ref="F53:U53"/>
    <mergeCell ref="F57:U57"/>
    <mergeCell ref="F56:U56"/>
    <mergeCell ref="AE60:AG60"/>
    <mergeCell ref="F59:U59"/>
    <mergeCell ref="F70:U70"/>
    <mergeCell ref="V70:X70"/>
    <mergeCell ref="V69:X69"/>
    <mergeCell ref="F65:U65"/>
    <mergeCell ref="V65:X65"/>
    <mergeCell ref="AB65:AD65"/>
    <mergeCell ref="AE65:AG65"/>
    <mergeCell ref="F66:U66"/>
    <mergeCell ref="V66:X66"/>
    <mergeCell ref="F67:U67"/>
    <mergeCell ref="Y66:AA66"/>
    <mergeCell ref="F69:U69"/>
    <mergeCell ref="Y69:AA69"/>
    <mergeCell ref="Y65:AA65"/>
    <mergeCell ref="Y68:AA68"/>
    <mergeCell ref="Y70:AA70"/>
    <mergeCell ref="AB67:AD67"/>
    <mergeCell ref="V67:X67"/>
    <mergeCell ref="F68:U68"/>
    <mergeCell ref="V68:X68"/>
    <mergeCell ref="AE70:AG70"/>
    <mergeCell ref="AE68:AG68"/>
    <mergeCell ref="AB66:AD66"/>
    <mergeCell ref="AE66:AG66"/>
    <mergeCell ref="BF78:BH78"/>
    <mergeCell ref="BF77:BH77"/>
    <mergeCell ref="BF75:BH75"/>
    <mergeCell ref="BF73:BH73"/>
    <mergeCell ref="BB72:BE72"/>
    <mergeCell ref="BB75:BE75"/>
    <mergeCell ref="BB71:BE71"/>
    <mergeCell ref="BB78:BE78"/>
    <mergeCell ref="BB77:BE77"/>
    <mergeCell ref="BB74:BE74"/>
    <mergeCell ref="AX72:BA72"/>
    <mergeCell ref="BF70:BH70"/>
    <mergeCell ref="AX71:BA71"/>
    <mergeCell ref="BF72:BH72"/>
    <mergeCell ref="BB73:BE73"/>
    <mergeCell ref="BF74:BH74"/>
    <mergeCell ref="BF71:BH71"/>
    <mergeCell ref="AT69:AW69"/>
    <mergeCell ref="AX68:BA68"/>
    <mergeCell ref="BF68:BH68"/>
    <mergeCell ref="AT70:AW70"/>
    <mergeCell ref="AT68:AW68"/>
    <mergeCell ref="BF69:BH69"/>
    <mergeCell ref="AX70:BA70"/>
    <mergeCell ref="BB70:BE70"/>
    <mergeCell ref="AT67:AW67"/>
    <mergeCell ref="BF64:BH64"/>
    <mergeCell ref="BB65:BE65"/>
    <mergeCell ref="BF62:BH62"/>
    <mergeCell ref="AX64:BA64"/>
    <mergeCell ref="BF61:BH61"/>
    <mergeCell ref="AX61:BA61"/>
    <mergeCell ref="BB61:BE61"/>
    <mergeCell ref="BB66:BE66"/>
    <mergeCell ref="BF66:BH66"/>
    <mergeCell ref="AT66:AW66"/>
    <mergeCell ref="AX65:BA65"/>
    <mergeCell ref="BF67:BH67"/>
    <mergeCell ref="AX66:BA66"/>
    <mergeCell ref="BF65:BH65"/>
    <mergeCell ref="BF63:BH63"/>
    <mergeCell ref="AT62:AW62"/>
    <mergeCell ref="AT64:AW64"/>
    <mergeCell ref="AT63:AW63"/>
    <mergeCell ref="BF58:BH58"/>
    <mergeCell ref="BB58:BE58"/>
    <mergeCell ref="BB60:BE60"/>
    <mergeCell ref="BB54:BE54"/>
    <mergeCell ref="BF54:BH54"/>
    <mergeCell ref="BB56:BE56"/>
    <mergeCell ref="AT56:AW56"/>
    <mergeCell ref="AX56:BA56"/>
    <mergeCell ref="AX58:BA58"/>
    <mergeCell ref="BF57:BH57"/>
    <mergeCell ref="BB59:BE59"/>
    <mergeCell ref="AX54:BA54"/>
    <mergeCell ref="AT58:AW58"/>
    <mergeCell ref="AX57:BA57"/>
    <mergeCell ref="AT59:AW59"/>
    <mergeCell ref="BF56:BH56"/>
    <mergeCell ref="BF55:BH55"/>
    <mergeCell ref="BF60:BH60"/>
    <mergeCell ref="BF59:BH59"/>
    <mergeCell ref="AX59:BA59"/>
    <mergeCell ref="AX55:BA55"/>
    <mergeCell ref="AT60:AW60"/>
    <mergeCell ref="AX60:BA60"/>
    <mergeCell ref="BB69:BE69"/>
    <mergeCell ref="AX69:BA69"/>
    <mergeCell ref="BB64:BE64"/>
    <mergeCell ref="AX63:BA63"/>
    <mergeCell ref="AT65:AW65"/>
    <mergeCell ref="AX67:BA67"/>
    <mergeCell ref="AH53:AJ53"/>
    <mergeCell ref="AH54:AJ54"/>
    <mergeCell ref="AH58:AJ58"/>
    <mergeCell ref="AN53:AP53"/>
    <mergeCell ref="AK54:AM54"/>
    <mergeCell ref="AH55:AJ55"/>
    <mergeCell ref="AH56:AJ56"/>
    <mergeCell ref="AQ69:AS69"/>
    <mergeCell ref="BB68:BE68"/>
    <mergeCell ref="BB67:BE67"/>
    <mergeCell ref="AQ65:AS65"/>
    <mergeCell ref="AN67:AP67"/>
    <mergeCell ref="AQ59:AS59"/>
    <mergeCell ref="BB53:BE53"/>
    <mergeCell ref="AH63:AJ63"/>
    <mergeCell ref="AH67:AJ67"/>
    <mergeCell ref="AK60:AM60"/>
    <mergeCell ref="AH60:AJ60"/>
    <mergeCell ref="AB63:AD63"/>
    <mergeCell ref="BB57:BE57"/>
    <mergeCell ref="BB52:BE52"/>
    <mergeCell ref="AN55:AP55"/>
    <mergeCell ref="AT57:AW57"/>
    <mergeCell ref="BB63:BE63"/>
    <mergeCell ref="AN66:AP66"/>
    <mergeCell ref="AN68:AP68"/>
    <mergeCell ref="AH62:AJ62"/>
    <mergeCell ref="AK64:AM64"/>
    <mergeCell ref="AQ52:AS52"/>
    <mergeCell ref="AB64:AD64"/>
    <mergeCell ref="AE64:AG64"/>
    <mergeCell ref="AK61:AM61"/>
    <mergeCell ref="AH66:AJ66"/>
    <mergeCell ref="AK66:AM66"/>
    <mergeCell ref="AK68:AM68"/>
    <mergeCell ref="AN65:AP65"/>
    <mergeCell ref="AH64:AJ64"/>
    <mergeCell ref="AE63:AG63"/>
    <mergeCell ref="AB62:AD62"/>
    <mergeCell ref="AE62:AG62"/>
    <mergeCell ref="AK55:AM55"/>
    <mergeCell ref="AH52:AJ52"/>
    <mergeCell ref="AN40:AP40"/>
    <mergeCell ref="AQ45:AS45"/>
    <mergeCell ref="AK52:AM52"/>
    <mergeCell ref="AK45:AM45"/>
    <mergeCell ref="AN45:AP45"/>
    <mergeCell ref="AN52:AP52"/>
    <mergeCell ref="AK50:AM50"/>
    <mergeCell ref="AN47:AP47"/>
    <mergeCell ref="AN54:AP54"/>
    <mergeCell ref="AN56:AP56"/>
    <mergeCell ref="AK51:AM51"/>
    <mergeCell ref="AN46:AP46"/>
    <mergeCell ref="AN50:AP50"/>
    <mergeCell ref="AH48:AJ48"/>
    <mergeCell ref="AH51:AJ51"/>
    <mergeCell ref="AQ44:AS44"/>
    <mergeCell ref="AE42:AG42"/>
    <mergeCell ref="AE41:AG41"/>
    <mergeCell ref="AK42:AM42"/>
    <mergeCell ref="AK47:AM47"/>
    <mergeCell ref="AQ50:AS50"/>
    <mergeCell ref="AK43:AM43"/>
    <mergeCell ref="AK41:AM41"/>
    <mergeCell ref="AK40:AM40"/>
    <mergeCell ref="AQ43:AS43"/>
    <mergeCell ref="AE46:AG46"/>
    <mergeCell ref="AQ46:AS46"/>
    <mergeCell ref="AE40:AG40"/>
    <mergeCell ref="AH45:AJ45"/>
    <mergeCell ref="AK46:AM46"/>
    <mergeCell ref="AK44:AM44"/>
    <mergeCell ref="AE45:AG45"/>
    <mergeCell ref="V47:X47"/>
    <mergeCell ref="B39:E39"/>
    <mergeCell ref="Y40:AA40"/>
    <mergeCell ref="AB38:AD38"/>
    <mergeCell ref="AB42:AD42"/>
    <mergeCell ref="Y41:AA41"/>
    <mergeCell ref="Y42:AA42"/>
    <mergeCell ref="AB41:AD41"/>
    <mergeCell ref="F44:U44"/>
    <mergeCell ref="F41:U41"/>
    <mergeCell ref="AB47:AD47"/>
    <mergeCell ref="F46:U46"/>
    <mergeCell ref="V46:X46"/>
    <mergeCell ref="Y46:AA46"/>
    <mergeCell ref="V45:X45"/>
    <mergeCell ref="Y45:AA45"/>
    <mergeCell ref="AB39:AD39"/>
    <mergeCell ref="V41:X41"/>
    <mergeCell ref="V42:X42"/>
    <mergeCell ref="AH41:AJ41"/>
    <mergeCell ref="AE39:AG39"/>
    <mergeCell ref="AH43:AJ43"/>
    <mergeCell ref="B55:E55"/>
    <mergeCell ref="F55:U55"/>
    <mergeCell ref="AE52:AG52"/>
    <mergeCell ref="AB52:AD52"/>
    <mergeCell ref="B38:E38"/>
    <mergeCell ref="B53:E53"/>
    <mergeCell ref="B42:E42"/>
    <mergeCell ref="F42:U42"/>
    <mergeCell ref="B44:E44"/>
    <mergeCell ref="V44:X44"/>
    <mergeCell ref="Y44:AA44"/>
    <mergeCell ref="B43:E43"/>
    <mergeCell ref="F43:U43"/>
    <mergeCell ref="V43:X43"/>
    <mergeCell ref="Y43:AA43"/>
    <mergeCell ref="F38:U38"/>
    <mergeCell ref="V38:X38"/>
    <mergeCell ref="Y38:AA38"/>
    <mergeCell ref="F45:U45"/>
    <mergeCell ref="B54:E54"/>
    <mergeCell ref="B45:E45"/>
    <mergeCell ref="AE53:AG53"/>
    <mergeCell ref="AE44:AG44"/>
    <mergeCell ref="AE43:AG43"/>
    <mergeCell ref="BB40:BE40"/>
    <mergeCell ref="BF40:BH40"/>
    <mergeCell ref="AN39:AP39"/>
    <mergeCell ref="AN41:AP41"/>
    <mergeCell ref="AN44:AP44"/>
    <mergeCell ref="AN37:AP37"/>
    <mergeCell ref="AN36:AP36"/>
    <mergeCell ref="AQ36:AS36"/>
    <mergeCell ref="AT43:AW43"/>
    <mergeCell ref="AX37:BA37"/>
    <mergeCell ref="AQ42:AS42"/>
    <mergeCell ref="AX41:BA41"/>
    <mergeCell ref="AX40:BA40"/>
    <mergeCell ref="AQ39:AS39"/>
    <mergeCell ref="AT39:AW39"/>
    <mergeCell ref="AN42:AP42"/>
    <mergeCell ref="BF38:BH38"/>
    <mergeCell ref="AN43:AP43"/>
    <mergeCell ref="AT36:AW36"/>
    <mergeCell ref="AT42:AW42"/>
    <mergeCell ref="AQ38:AS38"/>
    <mergeCell ref="AT38:AW38"/>
    <mergeCell ref="AX38:BA38"/>
    <mergeCell ref="AN38:AP38"/>
    <mergeCell ref="AB71:AD71"/>
    <mergeCell ref="AH68:AJ68"/>
    <mergeCell ref="AE61:AG61"/>
    <mergeCell ref="AB61:AD61"/>
    <mergeCell ref="Y61:AA61"/>
    <mergeCell ref="AH69:AJ69"/>
    <mergeCell ref="AK69:AM69"/>
    <mergeCell ref="AH70:AJ70"/>
    <mergeCell ref="AB55:AD55"/>
    <mergeCell ref="AB69:AD69"/>
    <mergeCell ref="AK56:AM56"/>
    <mergeCell ref="AK58:AM58"/>
    <mergeCell ref="AK59:AM59"/>
    <mergeCell ref="AB70:AD70"/>
    <mergeCell ref="Y63:AA63"/>
    <mergeCell ref="AE67:AG67"/>
    <mergeCell ref="Y67:AA67"/>
    <mergeCell ref="AE69:AG69"/>
    <mergeCell ref="Y60:AA60"/>
    <mergeCell ref="Y64:AA64"/>
    <mergeCell ref="Y62:AA62"/>
    <mergeCell ref="AE58:AG58"/>
    <mergeCell ref="AE59:AG59"/>
    <mergeCell ref="AH61:AJ61"/>
    <mergeCell ref="AK70:AM70"/>
    <mergeCell ref="AQ55:AS55"/>
    <mergeCell ref="AQ58:AS58"/>
    <mergeCell ref="AN57:AP57"/>
    <mergeCell ref="AQ56:AS56"/>
    <mergeCell ref="AN58:AP58"/>
    <mergeCell ref="AQ60:AS60"/>
    <mergeCell ref="AQ57:AS57"/>
    <mergeCell ref="AQ63:AS63"/>
    <mergeCell ref="AQ66:AS66"/>
    <mergeCell ref="AQ68:AS68"/>
    <mergeCell ref="AQ70:AS70"/>
    <mergeCell ref="AQ67:AS67"/>
    <mergeCell ref="AN69:AP69"/>
    <mergeCell ref="AK62:AM62"/>
    <mergeCell ref="AK63:AM63"/>
    <mergeCell ref="AK67:AM67"/>
    <mergeCell ref="AN70:AP70"/>
    <mergeCell ref="AT71:AW71"/>
    <mergeCell ref="AH71:AJ71"/>
    <mergeCell ref="AQ78:AS78"/>
    <mergeCell ref="AQ81:AS81"/>
    <mergeCell ref="AN72:AP72"/>
    <mergeCell ref="AN74:AP74"/>
    <mergeCell ref="AN77:AP77"/>
    <mergeCell ref="AH79:AJ79"/>
    <mergeCell ref="AT76:AW76"/>
    <mergeCell ref="AH73:AJ73"/>
    <mergeCell ref="AT72:AW72"/>
    <mergeCell ref="AH75:AJ75"/>
    <mergeCell ref="AK75:AM75"/>
    <mergeCell ref="AQ72:AS72"/>
    <mergeCell ref="AQ74:AS74"/>
    <mergeCell ref="AQ75:AS75"/>
    <mergeCell ref="AQ71:AS71"/>
    <mergeCell ref="AE81:AG81"/>
    <mergeCell ref="AH81:AJ81"/>
    <mergeCell ref="AQ73:AS73"/>
    <mergeCell ref="AK71:AM71"/>
    <mergeCell ref="AK72:AM72"/>
    <mergeCell ref="AH72:AJ72"/>
    <mergeCell ref="AQ77:AS77"/>
    <mergeCell ref="AE72:AG72"/>
    <mergeCell ref="AN73:AP73"/>
    <mergeCell ref="AN71:AP71"/>
    <mergeCell ref="AH74:AJ74"/>
    <mergeCell ref="AQ76:AS76"/>
    <mergeCell ref="AH77:AJ77"/>
    <mergeCell ref="AK77:AM77"/>
    <mergeCell ref="AE71:AG71"/>
    <mergeCell ref="AQ85:AS85"/>
    <mergeCell ref="AT85:AW85"/>
    <mergeCell ref="A91:C91"/>
    <mergeCell ref="V90:AB90"/>
    <mergeCell ref="V86:X86"/>
    <mergeCell ref="P90:U90"/>
    <mergeCell ref="A90:C90"/>
    <mergeCell ref="V85:X85"/>
    <mergeCell ref="AE85:AG85"/>
    <mergeCell ref="Y85:AA85"/>
    <mergeCell ref="AK85:AM85"/>
    <mergeCell ref="AN85:AP85"/>
    <mergeCell ref="F85:U85"/>
    <mergeCell ref="AB85:AD85"/>
    <mergeCell ref="F87:U87"/>
    <mergeCell ref="I90:O90"/>
    <mergeCell ref="AK86:AM86"/>
    <mergeCell ref="B81:E81"/>
    <mergeCell ref="B85:E85"/>
    <mergeCell ref="AB86:AD86"/>
    <mergeCell ref="F81:U81"/>
    <mergeCell ref="F74:U74"/>
    <mergeCell ref="F71:U71"/>
    <mergeCell ref="F72:U72"/>
    <mergeCell ref="V80:X80"/>
    <mergeCell ref="Y80:AA80"/>
    <mergeCell ref="Y79:AA79"/>
    <mergeCell ref="AB79:AD79"/>
    <mergeCell ref="Y81:AA81"/>
    <mergeCell ref="AB81:AD81"/>
    <mergeCell ref="B78:E78"/>
    <mergeCell ref="V79:X79"/>
    <mergeCell ref="B77:E77"/>
    <mergeCell ref="V77:X77"/>
    <mergeCell ref="B80:E80"/>
    <mergeCell ref="B76:E76"/>
    <mergeCell ref="F76:U76"/>
    <mergeCell ref="F84:U84"/>
    <mergeCell ref="V84:X84"/>
    <mergeCell ref="Y71:AA71"/>
    <mergeCell ref="F78:U78"/>
    <mergeCell ref="BB86:BE86"/>
    <mergeCell ref="AT86:AW86"/>
    <mergeCell ref="AQ93:AT93"/>
    <mergeCell ref="AQ94:AT94"/>
    <mergeCell ref="V93:AB93"/>
    <mergeCell ref="AC94:AI94"/>
    <mergeCell ref="AJ93:AP93"/>
    <mergeCell ref="AJ94:AP94"/>
    <mergeCell ref="AE87:AG87"/>
    <mergeCell ref="AC90:AI90"/>
    <mergeCell ref="AJ90:AP90"/>
    <mergeCell ref="AB87:AD87"/>
    <mergeCell ref="AX86:BA86"/>
    <mergeCell ref="AH87:AJ87"/>
    <mergeCell ref="AE86:AG86"/>
    <mergeCell ref="AC91:AI91"/>
    <mergeCell ref="V91:AB91"/>
    <mergeCell ref="AX87:BA87"/>
    <mergeCell ref="A88:BA88"/>
    <mergeCell ref="AT87:AW87"/>
    <mergeCell ref="V87:X87"/>
    <mergeCell ref="Y87:AA87"/>
    <mergeCell ref="AQ86:AS86"/>
    <mergeCell ref="V94:AB94"/>
    <mergeCell ref="BF87:BH87"/>
    <mergeCell ref="AN87:AP87"/>
    <mergeCell ref="AN86:AP86"/>
    <mergeCell ref="AH86:AJ86"/>
    <mergeCell ref="B105:Q105"/>
    <mergeCell ref="BF86:BH86"/>
    <mergeCell ref="B86:E86"/>
    <mergeCell ref="F86:U86"/>
    <mergeCell ref="B87:E87"/>
    <mergeCell ref="AQ87:AS87"/>
    <mergeCell ref="AK87:AM87"/>
    <mergeCell ref="AQ91:AT91"/>
    <mergeCell ref="I95:O95"/>
    <mergeCell ref="P95:U95"/>
    <mergeCell ref="D92:H92"/>
    <mergeCell ref="I92:O92"/>
    <mergeCell ref="P92:U92"/>
    <mergeCell ref="V92:AB92"/>
    <mergeCell ref="BB87:BE87"/>
    <mergeCell ref="D90:H90"/>
    <mergeCell ref="Y86:AA86"/>
    <mergeCell ref="A99:BH99"/>
    <mergeCell ref="AQ90:AT90"/>
    <mergeCell ref="AJ91:AP91"/>
    <mergeCell ref="AD104:AJ104"/>
    <mergeCell ref="AD103:AJ103"/>
    <mergeCell ref="A93:C93"/>
    <mergeCell ref="AQ95:AT95"/>
    <mergeCell ref="D93:H93"/>
    <mergeCell ref="P91:U91"/>
    <mergeCell ref="I93:O93"/>
    <mergeCell ref="D91:H91"/>
    <mergeCell ref="I91:O91"/>
    <mergeCell ref="P93:U93"/>
    <mergeCell ref="D94:H94"/>
    <mergeCell ref="I94:O94"/>
    <mergeCell ref="P94:U94"/>
    <mergeCell ref="A92:C92"/>
    <mergeCell ref="A95:C95"/>
    <mergeCell ref="AC95:AI95"/>
    <mergeCell ref="AC92:AI92"/>
    <mergeCell ref="AC93:AI93"/>
    <mergeCell ref="D95:H95"/>
    <mergeCell ref="AQ92:AT92"/>
    <mergeCell ref="AJ95:AP95"/>
    <mergeCell ref="AJ92:AP92"/>
    <mergeCell ref="A94:C94"/>
    <mergeCell ref="A100:BH100"/>
    <mergeCell ref="A98:BH98"/>
    <mergeCell ref="AB72:AD72"/>
    <mergeCell ref="V72:X72"/>
    <mergeCell ref="AX76:BA76"/>
    <mergeCell ref="BB76:BE76"/>
    <mergeCell ref="BF76:BH76"/>
    <mergeCell ref="B49:E49"/>
    <mergeCell ref="F49:U49"/>
    <mergeCell ref="V49:X49"/>
    <mergeCell ref="Y49:AA49"/>
    <mergeCell ref="AN49:AP49"/>
    <mergeCell ref="AQ49:AS49"/>
    <mergeCell ref="AT49:AW49"/>
    <mergeCell ref="AX49:BA49"/>
    <mergeCell ref="Y56:AA56"/>
    <mergeCell ref="V53:X53"/>
    <mergeCell ref="Y58:AA58"/>
    <mergeCell ref="Y57:AA57"/>
    <mergeCell ref="BB49:BE49"/>
    <mergeCell ref="V71:X71"/>
    <mergeCell ref="AN76:AP76"/>
    <mergeCell ref="V95:AB95"/>
    <mergeCell ref="AK76:AM76"/>
    <mergeCell ref="F73:U73"/>
    <mergeCell ref="F75:U75"/>
    <mergeCell ref="F77:U77"/>
    <mergeCell ref="AB78:AD78"/>
    <mergeCell ref="Y77:AA77"/>
    <mergeCell ref="AB77:AD77"/>
    <mergeCell ref="AE73:AG73"/>
    <mergeCell ref="V75:X75"/>
    <mergeCell ref="AE74:AG74"/>
    <mergeCell ref="AE75:AG75"/>
    <mergeCell ref="V74:X74"/>
    <mergeCell ref="V73:X73"/>
    <mergeCell ref="Y73:AA73"/>
    <mergeCell ref="AB73:AD73"/>
    <mergeCell ref="AB75:AD75"/>
    <mergeCell ref="Y75:AA75"/>
    <mergeCell ref="V78:X78"/>
    <mergeCell ref="AE77:AG77"/>
    <mergeCell ref="AB74:AD74"/>
    <mergeCell ref="Y82:AA82"/>
    <mergeCell ref="AB82:AD82"/>
    <mergeCell ref="AE82:AG82"/>
    <mergeCell ref="AH82:AJ82"/>
    <mergeCell ref="AK82:AM82"/>
    <mergeCell ref="AN82:AP82"/>
    <mergeCell ref="AQ82:AS82"/>
    <mergeCell ref="AT82:AW82"/>
    <mergeCell ref="AX82:BA82"/>
    <mergeCell ref="BB82:BE82"/>
    <mergeCell ref="BF82:BH82"/>
    <mergeCell ref="AH84:AJ84"/>
    <mergeCell ref="AK84:AM84"/>
    <mergeCell ref="AN84:AP84"/>
    <mergeCell ref="AQ84:AS84"/>
    <mergeCell ref="AT84:AW84"/>
    <mergeCell ref="AX84:BA84"/>
    <mergeCell ref="BB84:BE84"/>
    <mergeCell ref="BF83:BH83"/>
    <mergeCell ref="AN83:AP83"/>
    <mergeCell ref="AQ83:AS83"/>
    <mergeCell ref="AT83:AW83"/>
    <mergeCell ref="AX83:BA83"/>
    <mergeCell ref="BB83:BE83"/>
    <mergeCell ref="B84:E84"/>
    <mergeCell ref="B83:E83"/>
    <mergeCell ref="F83:U83"/>
    <mergeCell ref="V83:X83"/>
    <mergeCell ref="Y83:AA83"/>
    <mergeCell ref="AB83:AD83"/>
    <mergeCell ref="AE83:AG83"/>
    <mergeCell ref="AH83:AJ83"/>
    <mergeCell ref="AK83:AM83"/>
    <mergeCell ref="AE49:AG49"/>
    <mergeCell ref="AH49:AJ49"/>
    <mergeCell ref="AK49:AM49"/>
    <mergeCell ref="F58:U58"/>
    <mergeCell ref="F54:U54"/>
    <mergeCell ref="V54:X54"/>
    <mergeCell ref="V58:X58"/>
    <mergeCell ref="V56:X56"/>
    <mergeCell ref="V55:X55"/>
    <mergeCell ref="Y53:AA53"/>
    <mergeCell ref="AK53:AM53"/>
    <mergeCell ref="V52:X52"/>
    <mergeCell ref="AH57:AJ57"/>
    <mergeCell ref="AK57:AM57"/>
    <mergeCell ref="AB53:AD53"/>
    <mergeCell ref="Y54:AA54"/>
    <mergeCell ref="V57:X57"/>
    <mergeCell ref="F52:U52"/>
    <mergeCell ref="Y72:AA72"/>
    <mergeCell ref="Y78:AA78"/>
    <mergeCell ref="AE78:AG78"/>
    <mergeCell ref="AH78:AJ78"/>
    <mergeCell ref="AK78:AM78"/>
    <mergeCell ref="Y74:AA74"/>
    <mergeCell ref="V76:X76"/>
    <mergeCell ref="Y76:AA76"/>
    <mergeCell ref="AB76:AD76"/>
    <mergeCell ref="AE76:AG76"/>
    <mergeCell ref="AH76:AJ76"/>
    <mergeCell ref="AK39:AM39"/>
    <mergeCell ref="AH39:AJ39"/>
    <mergeCell ref="AP7:BH7"/>
    <mergeCell ref="BF33:BH34"/>
    <mergeCell ref="BB33:BE34"/>
    <mergeCell ref="AT33:AW34"/>
    <mergeCell ref="AX33:BA34"/>
    <mergeCell ref="BF35:BH35"/>
    <mergeCell ref="Y37:AA37"/>
    <mergeCell ref="AB37:AD37"/>
    <mergeCell ref="AK37:AM37"/>
    <mergeCell ref="AK38:AM38"/>
    <mergeCell ref="AH38:AJ38"/>
    <mergeCell ref="AE36:AG36"/>
    <mergeCell ref="AH36:AJ36"/>
    <mergeCell ref="AE38:AG38"/>
    <mergeCell ref="BB38:BE38"/>
    <mergeCell ref="BF37:BH37"/>
    <mergeCell ref="BB36:BE36"/>
    <mergeCell ref="BF36:BH36"/>
    <mergeCell ref="AX35:BA35"/>
    <mergeCell ref="BB35:BE35"/>
    <mergeCell ref="BB37:BE37"/>
    <mergeCell ref="AT20:AV20"/>
  </mergeCells>
  <phoneticPr fontId="1" type="noConversion"/>
  <pageMargins left="0.98425196850393704" right="0.19685039370078741" top="0.39370078740157483" bottom="0.39370078740157483" header="0.51181102362204722" footer="0.51181102362204722"/>
  <pageSetup paperSize="9" scale="52" orientation="landscape" horizontalDpi="300" verticalDpi="300" r:id="rId1"/>
  <headerFooter alignWithMargins="0"/>
  <rowBreaks count="2" manualBreakCount="2">
    <brk id="37" max="59" man="1"/>
    <brk id="75" max="5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40"/>
  <sheetViews>
    <sheetView topLeftCell="A12" zoomScale="78" zoomScaleNormal="78" workbookViewId="0">
      <selection activeCell="N19" sqref="N19"/>
    </sheetView>
  </sheetViews>
  <sheetFormatPr defaultColWidth="9.109375" defaultRowHeight="13.2" x14ac:dyDescent="0.25"/>
  <cols>
    <col min="1" max="1" width="5.44140625" style="1" customWidth="1"/>
    <col min="2" max="20" width="4.33203125" style="1" customWidth="1"/>
    <col min="21" max="21" width="5" style="1" customWidth="1"/>
    <col min="22" max="56" width="4.33203125" style="1" customWidth="1"/>
    <col min="57" max="58" width="3.6640625" style="1" customWidth="1"/>
    <col min="59" max="59" width="3.109375" style="1" customWidth="1"/>
    <col min="60" max="60" width="1.5546875" style="1" customWidth="1"/>
    <col min="61" max="61" width="5.109375" style="1" customWidth="1"/>
    <col min="62" max="62" width="1.88671875" style="1" customWidth="1"/>
    <col min="63" max="63" width="5.5546875" style="1" customWidth="1"/>
    <col min="64" max="16384" width="9.109375" style="1"/>
  </cols>
  <sheetData>
    <row r="1" spans="1:63" ht="9" hidden="1" customHeight="1"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9"/>
      <c r="AI1" s="9"/>
      <c r="AJ1" s="8"/>
      <c r="AK1" s="9"/>
      <c r="AL1" s="9"/>
      <c r="AM1" s="9"/>
      <c r="AN1" s="9"/>
      <c r="AO1" s="10"/>
      <c r="AP1" s="10"/>
      <c r="AQ1" s="10"/>
      <c r="AR1" s="10"/>
      <c r="AS1" s="10"/>
      <c r="AT1" s="10"/>
      <c r="AU1" s="10"/>
      <c r="AV1" s="10"/>
      <c r="AW1" s="10"/>
      <c r="AX1" s="10"/>
      <c r="AY1" s="10"/>
      <c r="AZ1" s="10"/>
      <c r="BA1" s="10"/>
      <c r="BB1" s="10"/>
      <c r="BC1" s="10"/>
      <c r="BD1" s="10"/>
      <c r="BE1" s="7"/>
      <c r="BF1" s="7"/>
      <c r="BG1" s="7"/>
      <c r="BH1" s="7"/>
      <c r="BI1" s="7"/>
      <c r="BJ1" s="7"/>
      <c r="BK1" s="7"/>
    </row>
    <row r="2" spans="1:63" ht="24.75" hidden="1" customHeight="1" x14ac:dyDescent="0.35">
      <c r="A2" s="161" t="s">
        <v>94</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row>
    <row r="3" spans="1:63" ht="18.75" hidden="1" customHeight="1" x14ac:dyDescent="0.35">
      <c r="A3" s="161" t="s">
        <v>76</v>
      </c>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row>
    <row r="4" spans="1:63" ht="30" hidden="1" customHeight="1" x14ac:dyDescent="0.35">
      <c r="A4" s="4"/>
      <c r="B4" s="107" t="s">
        <v>103</v>
      </c>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4"/>
      <c r="BB4" s="4"/>
      <c r="BC4" s="4"/>
      <c r="BD4" s="4"/>
      <c r="BE4" s="4"/>
      <c r="BF4" s="4"/>
      <c r="BG4" s="4"/>
      <c r="BH4" s="4"/>
      <c r="BI4" s="4"/>
      <c r="BJ4" s="4"/>
      <c r="BK4" s="4"/>
    </row>
    <row r="5" spans="1:63" ht="11.25" hidden="1" customHeight="1"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3" ht="11.25" hidden="1" customHeight="1"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3" s="11" customFormat="1" ht="27.75" hidden="1" customHeight="1" x14ac:dyDescent="0.4">
      <c r="A7" s="5"/>
      <c r="B7" s="5" t="s">
        <v>72</v>
      </c>
      <c r="C7" s="5"/>
      <c r="D7" s="5"/>
      <c r="E7" s="5"/>
      <c r="F7" s="5"/>
      <c r="G7" s="5"/>
      <c r="H7" s="5"/>
      <c r="I7" s="5"/>
      <c r="J7" s="5"/>
      <c r="K7" s="5"/>
      <c r="L7" s="5"/>
      <c r="M7" s="5"/>
      <c r="N7" s="5"/>
      <c r="O7" s="5"/>
      <c r="P7" s="5"/>
      <c r="Q7" s="5"/>
      <c r="R7" s="5"/>
      <c r="S7" s="5"/>
      <c r="T7" s="5"/>
      <c r="U7" s="5"/>
      <c r="V7" s="5"/>
      <c r="W7" s="5"/>
      <c r="X7" s="5"/>
      <c r="Y7" s="5"/>
      <c r="Z7" s="5"/>
      <c r="AA7" s="5"/>
      <c r="AB7" s="5"/>
      <c r="AC7" s="5"/>
      <c r="AD7" s="106"/>
      <c r="AE7" s="106"/>
      <c r="AF7" s="106"/>
      <c r="AG7" s="106"/>
      <c r="AH7" s="106"/>
      <c r="AI7" s="106"/>
      <c r="AJ7" s="106"/>
      <c r="AK7" s="5" t="s">
        <v>118</v>
      </c>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s="11" customFormat="1" ht="27.75" hidden="1" customHeight="1" x14ac:dyDescent="0.4">
      <c r="A8" s="5"/>
      <c r="B8" s="5" t="s">
        <v>90</v>
      </c>
      <c r="C8" s="5"/>
      <c r="D8" s="5"/>
      <c r="E8" s="5"/>
      <c r="F8" s="5"/>
      <c r="G8" s="5"/>
      <c r="H8" s="5"/>
      <c r="I8" s="5"/>
      <c r="J8" s="5"/>
      <c r="K8" s="5"/>
      <c r="L8" s="5"/>
      <c r="M8" s="5"/>
      <c r="N8" s="5"/>
      <c r="O8" s="5"/>
      <c r="P8" s="5"/>
      <c r="Q8" s="5"/>
      <c r="R8" s="5"/>
      <c r="S8" s="5"/>
      <c r="T8" s="5"/>
      <c r="U8" s="5"/>
      <c r="V8" s="5"/>
      <c r="W8" s="5"/>
      <c r="X8" s="5"/>
      <c r="Y8" s="5"/>
      <c r="Z8" s="5"/>
      <c r="AA8" s="5"/>
      <c r="AB8" s="5"/>
      <c r="AC8" s="5"/>
      <c r="AD8" s="106"/>
      <c r="AE8" s="106"/>
      <c r="AF8" s="106"/>
      <c r="AG8" s="106"/>
      <c r="AH8" s="106"/>
      <c r="AI8" s="106"/>
      <c r="AJ8" s="106"/>
      <c r="AK8" s="5" t="s">
        <v>119</v>
      </c>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s="11" customFormat="1" ht="27.75" hidden="1" customHeight="1" x14ac:dyDescent="0.4">
      <c r="A9" s="5"/>
      <c r="B9" s="108" t="s">
        <v>95</v>
      </c>
      <c r="C9" s="108"/>
      <c r="D9" s="108"/>
      <c r="E9" s="108"/>
      <c r="F9" s="108"/>
      <c r="G9" s="108"/>
      <c r="H9" s="108"/>
      <c r="I9" s="108"/>
      <c r="J9" s="108"/>
      <c r="K9" s="108"/>
      <c r="L9" s="108"/>
      <c r="M9" s="108"/>
      <c r="N9" s="108"/>
      <c r="O9" s="108"/>
      <c r="P9" s="108"/>
      <c r="Q9" s="108"/>
      <c r="R9" s="5"/>
      <c r="S9" s="5"/>
      <c r="T9" s="5"/>
      <c r="U9" s="5"/>
      <c r="V9" s="5"/>
      <c r="W9" s="5"/>
      <c r="X9" s="5"/>
      <c r="Y9" s="5"/>
      <c r="Z9" s="5"/>
      <c r="AA9" s="5"/>
      <c r="AB9" s="5"/>
      <c r="AC9" s="5"/>
      <c r="AD9" s="12"/>
      <c r="AE9" s="12"/>
      <c r="AF9" s="12"/>
      <c r="AG9" s="12"/>
      <c r="AH9" s="12"/>
      <c r="AI9" s="12"/>
      <c r="AJ9" s="12"/>
      <c r="AK9" s="5" t="s">
        <v>120</v>
      </c>
      <c r="AL9" s="5"/>
      <c r="AM9" s="5"/>
      <c r="AN9" s="5"/>
      <c r="AO9" s="5"/>
      <c r="AP9" s="5"/>
      <c r="AQ9" s="5"/>
      <c r="AR9" s="5"/>
      <c r="AS9" s="5"/>
      <c r="AT9" s="5"/>
      <c r="AU9" s="5"/>
      <c r="AV9" s="5"/>
      <c r="AW9" s="5"/>
      <c r="AX9" s="5"/>
      <c r="AY9" s="5"/>
      <c r="AZ9" s="5"/>
      <c r="BA9" s="5"/>
      <c r="BB9" s="5"/>
      <c r="BC9" s="5"/>
      <c r="BD9" s="5"/>
      <c r="BE9" s="5"/>
      <c r="BF9" s="5"/>
      <c r="BG9" s="5"/>
      <c r="BH9" s="5"/>
      <c r="BI9" s="5"/>
      <c r="BJ9" s="5"/>
      <c r="BK9" s="5"/>
    </row>
    <row r="10" spans="1:63" s="11" customFormat="1" ht="27.75" hidden="1" customHeight="1" x14ac:dyDescent="0.4">
      <c r="A10" s="5"/>
      <c r="B10" s="5" t="s">
        <v>91</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t="s">
        <v>121</v>
      </c>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row>
    <row r="11" spans="1:63" ht="15" hidden="1"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row>
    <row r="12" spans="1:63" ht="25.5" customHeight="1" x14ac:dyDescent="0.4">
      <c r="A12" s="3"/>
      <c r="B12" s="2"/>
      <c r="C12" s="2"/>
      <c r="D12" s="2"/>
      <c r="E12" s="2"/>
      <c r="F12" s="2"/>
      <c r="G12" s="2"/>
      <c r="H12" s="2"/>
      <c r="I12" s="2"/>
      <c r="J12" s="2"/>
      <c r="K12" s="2"/>
      <c r="L12" s="2"/>
      <c r="M12" s="2"/>
      <c r="N12" s="2"/>
      <c r="O12" s="151" t="s">
        <v>104</v>
      </c>
      <c r="P12" s="151"/>
      <c r="Q12" s="151"/>
      <c r="R12" s="151"/>
      <c r="S12" s="151"/>
      <c r="T12" s="151"/>
      <c r="U12" s="151"/>
      <c r="V12" s="151"/>
      <c r="W12" s="151"/>
      <c r="X12" s="151"/>
      <c r="Y12" s="151"/>
      <c r="Z12" s="151"/>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c r="BJ12" s="3"/>
      <c r="BK12" s="3"/>
    </row>
    <row r="13" spans="1:63" s="11" customFormat="1" ht="39.75" customHeight="1" x14ac:dyDescent="0.4">
      <c r="A13" s="5"/>
      <c r="B13" s="190" t="s">
        <v>128</v>
      </c>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5"/>
      <c r="AT13" s="5"/>
      <c r="AU13" s="5"/>
      <c r="AV13" s="5"/>
      <c r="AW13" s="5"/>
      <c r="AX13" s="5"/>
      <c r="AY13" s="5"/>
      <c r="AZ13" s="5"/>
      <c r="BA13" s="5"/>
      <c r="BB13" s="5"/>
      <c r="BC13" s="5"/>
      <c r="BD13" s="5"/>
      <c r="BE13" s="5"/>
      <c r="BF13" s="5"/>
      <c r="BG13" s="5"/>
      <c r="BH13" s="5"/>
      <c r="BI13" s="5"/>
      <c r="BJ13" s="5"/>
      <c r="BK13" s="5"/>
    </row>
    <row r="14" spans="1:63" s="11" customFormat="1" ht="35.25" customHeight="1" x14ac:dyDescent="0.4">
      <c r="A14" s="5"/>
      <c r="B14" s="6" t="s">
        <v>106</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t="s">
        <v>265</v>
      </c>
      <c r="AL14" s="6"/>
      <c r="AM14" s="6"/>
      <c r="AN14" s="6"/>
      <c r="AO14" s="6"/>
      <c r="AP14" s="6"/>
      <c r="AQ14" s="6"/>
      <c r="AR14" s="6"/>
      <c r="AS14" s="5"/>
      <c r="AT14" s="5"/>
      <c r="AU14" s="5"/>
      <c r="AV14" s="5"/>
      <c r="AW14" s="5"/>
      <c r="AX14" s="5"/>
      <c r="AY14" s="5"/>
      <c r="AZ14" s="5"/>
      <c r="BA14" s="5"/>
      <c r="BB14" s="5"/>
      <c r="BC14" s="5"/>
      <c r="BD14" s="5"/>
      <c r="BE14" s="5"/>
      <c r="BF14" s="5"/>
      <c r="BG14" s="5"/>
      <c r="BH14" s="5"/>
      <c r="BI14" s="5"/>
      <c r="BJ14" s="5"/>
      <c r="BK14" s="5"/>
    </row>
    <row r="15" spans="1:63" s="11" customFormat="1" ht="35.25" customHeight="1" x14ac:dyDescent="0.4">
      <c r="A15" s="5"/>
      <c r="B15" s="6" t="s">
        <v>108</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t="s">
        <v>246</v>
      </c>
      <c r="AL15" s="6"/>
      <c r="AM15" s="6"/>
      <c r="AN15" s="6"/>
      <c r="AO15" s="6"/>
      <c r="AP15" s="6"/>
      <c r="AQ15" s="6"/>
      <c r="AR15" s="6"/>
      <c r="AS15" s="5"/>
      <c r="AT15" s="5"/>
      <c r="AU15" s="5"/>
      <c r="AV15" s="5"/>
      <c r="AW15" s="5"/>
      <c r="AX15" s="5"/>
      <c r="AY15" s="5"/>
      <c r="AZ15" s="5"/>
      <c r="BA15" s="5"/>
      <c r="BB15" s="5"/>
      <c r="BC15" s="5"/>
      <c r="BD15" s="5"/>
      <c r="BE15" s="5"/>
      <c r="BF15" s="5"/>
      <c r="BG15" s="5"/>
      <c r="BH15" s="5"/>
      <c r="BI15" s="5"/>
      <c r="BJ15" s="5"/>
      <c r="BK15" s="5"/>
    </row>
    <row r="16" spans="1:63" s="11" customFormat="1" ht="35.25" customHeight="1" x14ac:dyDescent="0.4">
      <c r="A16" s="5"/>
      <c r="B16" s="6" t="s">
        <v>105</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t="s">
        <v>122</v>
      </c>
      <c r="AL16" s="6"/>
      <c r="AM16" s="6"/>
      <c r="AN16" s="6"/>
      <c r="AO16" s="6"/>
      <c r="AP16" s="6"/>
      <c r="AQ16" s="6"/>
      <c r="AR16" s="6"/>
      <c r="AS16" s="5"/>
      <c r="AT16" s="5"/>
      <c r="AU16" s="5"/>
      <c r="AV16" s="5"/>
      <c r="AW16" s="5"/>
      <c r="AX16" s="5"/>
      <c r="AY16" s="5"/>
      <c r="AZ16" s="5"/>
      <c r="BA16" s="5"/>
      <c r="BB16" s="5"/>
      <c r="BC16" s="5"/>
      <c r="BD16" s="5"/>
      <c r="BE16" s="5"/>
      <c r="BF16" s="5"/>
      <c r="BG16" s="5"/>
      <c r="BH16" s="5"/>
      <c r="BI16" s="5"/>
      <c r="BJ16" s="5"/>
      <c r="BK16" s="5"/>
    </row>
    <row r="17" spans="1:63" s="11" customFormat="1" ht="35.25" customHeight="1" x14ac:dyDescent="0.4">
      <c r="A17" s="5"/>
      <c r="B17" s="6" t="s">
        <v>107</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t="s">
        <v>123</v>
      </c>
      <c r="AL17" s="6"/>
      <c r="AM17" s="6"/>
      <c r="AN17" s="6"/>
      <c r="AO17" s="6"/>
      <c r="AP17" s="6"/>
      <c r="AQ17" s="6"/>
      <c r="AR17" s="6"/>
      <c r="AS17" s="5"/>
      <c r="AT17" s="5"/>
      <c r="AU17" s="5"/>
      <c r="AV17" s="5"/>
      <c r="AW17" s="5"/>
      <c r="AX17" s="5"/>
      <c r="AY17" s="5"/>
      <c r="AZ17" s="5"/>
      <c r="BA17" s="5"/>
      <c r="BB17" s="5"/>
      <c r="BC17" s="5"/>
      <c r="BD17" s="5"/>
      <c r="BE17" s="5"/>
      <c r="BF17" s="5"/>
      <c r="BG17" s="5"/>
      <c r="BH17" s="5"/>
      <c r="BI17" s="5"/>
      <c r="BJ17" s="5"/>
      <c r="BK17" s="5"/>
    </row>
    <row r="18" spans="1:63" s="11" customFormat="1" ht="35.25" customHeight="1" x14ac:dyDescent="0.4">
      <c r="A18" s="5"/>
      <c r="B18" s="6" t="s">
        <v>109</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t="s">
        <v>124</v>
      </c>
      <c r="AL18" s="6"/>
      <c r="AM18" s="6"/>
      <c r="AN18" s="6"/>
      <c r="AO18" s="6"/>
      <c r="AP18" s="6"/>
      <c r="AQ18" s="6"/>
      <c r="AR18" s="6"/>
      <c r="AS18" s="5"/>
      <c r="AT18" s="5"/>
      <c r="AU18" s="5"/>
      <c r="AV18" s="5"/>
      <c r="AW18" s="5"/>
      <c r="AX18" s="5"/>
      <c r="AY18" s="5"/>
      <c r="AZ18" s="5"/>
      <c r="BA18" s="5"/>
      <c r="BB18" s="5"/>
      <c r="BC18" s="5"/>
      <c r="BD18" s="5"/>
      <c r="BE18" s="5"/>
      <c r="BF18" s="5"/>
      <c r="BG18" s="5"/>
      <c r="BH18" s="5"/>
      <c r="BI18" s="5"/>
      <c r="BJ18" s="5"/>
      <c r="BK18" s="5"/>
    </row>
    <row r="19" spans="1:63" s="11" customFormat="1" ht="35.25" customHeight="1" x14ac:dyDescent="0.4">
      <c r="A19" s="5"/>
      <c r="B19" s="6" t="s">
        <v>110</v>
      </c>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t="s">
        <v>125</v>
      </c>
      <c r="AL19" s="6"/>
      <c r="AM19" s="6"/>
      <c r="AN19" s="6"/>
      <c r="AO19" s="6"/>
      <c r="AP19" s="6"/>
      <c r="AQ19" s="6"/>
      <c r="AR19" s="6"/>
      <c r="AS19" s="5"/>
      <c r="AT19" s="5"/>
      <c r="AU19" s="5"/>
      <c r="AV19" s="5"/>
      <c r="AW19" s="5"/>
      <c r="AX19" s="5"/>
      <c r="AY19" s="5"/>
      <c r="AZ19" s="5"/>
      <c r="BA19" s="5"/>
      <c r="BB19" s="5"/>
      <c r="BC19" s="5"/>
      <c r="BD19" s="5"/>
      <c r="BE19" s="5"/>
      <c r="BF19" s="5"/>
      <c r="BG19" s="5"/>
      <c r="BH19" s="5"/>
      <c r="BI19" s="5"/>
      <c r="BJ19" s="5"/>
      <c r="BK19" s="5"/>
    </row>
    <row r="20" spans="1:63" ht="17.399999999999999"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row>
    <row r="21" spans="1:63" s="11" customFormat="1" ht="39.75" customHeight="1" x14ac:dyDescent="0.4">
      <c r="A21" s="5"/>
      <c r="B21" s="190" t="s">
        <v>257</v>
      </c>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5"/>
      <c r="AT21" s="5"/>
      <c r="AU21" s="5"/>
      <c r="AV21" s="5"/>
      <c r="AW21" s="5"/>
      <c r="AX21" s="5"/>
      <c r="AY21" s="5"/>
      <c r="AZ21" s="5"/>
      <c r="BA21" s="5"/>
      <c r="BB21" s="5"/>
      <c r="BC21" s="5"/>
      <c r="BD21" s="5"/>
      <c r="BE21" s="5"/>
      <c r="BF21" s="5"/>
      <c r="BG21" s="5"/>
      <c r="BH21" s="5"/>
      <c r="BI21" s="5"/>
      <c r="BJ21" s="5"/>
      <c r="BK21" s="5"/>
    </row>
    <row r="22" spans="1:63" s="11" customFormat="1" ht="35.25" customHeight="1" x14ac:dyDescent="0.4">
      <c r="A22" s="5"/>
      <c r="B22" s="6" t="s">
        <v>259</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t="s">
        <v>261</v>
      </c>
      <c r="AL22" s="6"/>
      <c r="AM22" s="6"/>
      <c r="AN22" s="6"/>
      <c r="AO22" s="6"/>
      <c r="AP22" s="6"/>
      <c r="AQ22" s="6"/>
      <c r="AR22" s="6"/>
      <c r="AS22" s="5"/>
      <c r="AT22" s="5"/>
      <c r="AU22" s="5"/>
      <c r="AV22" s="5"/>
      <c r="AW22" s="5"/>
      <c r="AX22" s="5"/>
      <c r="AY22" s="5"/>
      <c r="AZ22" s="5"/>
      <c r="BA22" s="5"/>
      <c r="BB22" s="5"/>
      <c r="BC22" s="5"/>
      <c r="BD22" s="5"/>
      <c r="BE22" s="5"/>
      <c r="BF22" s="5"/>
      <c r="BG22" s="5"/>
      <c r="BH22" s="5"/>
      <c r="BI22" s="5"/>
      <c r="BJ22" s="5"/>
      <c r="BK22" s="5"/>
    </row>
    <row r="23" spans="1:63" s="11" customFormat="1" ht="35.25" customHeight="1" x14ac:dyDescent="0.4">
      <c r="A23" s="5"/>
      <c r="B23" s="6" t="s">
        <v>260</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t="s">
        <v>262</v>
      </c>
      <c r="AL23" s="6"/>
      <c r="AM23" s="6"/>
      <c r="AN23" s="6"/>
      <c r="AO23" s="6"/>
      <c r="AP23" s="6"/>
      <c r="AQ23" s="6"/>
      <c r="AR23" s="6"/>
      <c r="AS23" s="5"/>
      <c r="AT23" s="5"/>
      <c r="AU23" s="5"/>
      <c r="AV23" s="5"/>
      <c r="AW23" s="5"/>
      <c r="AX23" s="5"/>
      <c r="AY23" s="5"/>
      <c r="AZ23" s="5"/>
      <c r="BA23" s="5"/>
      <c r="BB23" s="5"/>
      <c r="BC23" s="5"/>
      <c r="BD23" s="5"/>
      <c r="BE23" s="5"/>
      <c r="BF23" s="5"/>
      <c r="BG23" s="5"/>
      <c r="BH23" s="5"/>
      <c r="BI23" s="5"/>
      <c r="BJ23" s="5"/>
      <c r="BK23" s="5"/>
    </row>
    <row r="24" spans="1:63" s="11" customFormat="1" ht="35.25" customHeight="1" x14ac:dyDescent="0.4">
      <c r="A24" s="5"/>
      <c r="B24" s="6" t="s">
        <v>263</v>
      </c>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t="s">
        <v>264</v>
      </c>
      <c r="AL24" s="6"/>
      <c r="AM24" s="6"/>
      <c r="AN24" s="6"/>
      <c r="AO24" s="6"/>
      <c r="AP24" s="6"/>
      <c r="AQ24" s="6"/>
      <c r="AR24" s="6"/>
      <c r="AS24" s="5"/>
      <c r="AT24" s="5"/>
      <c r="AU24" s="5"/>
      <c r="AV24" s="5"/>
      <c r="AW24" s="5"/>
      <c r="AX24" s="5"/>
      <c r="AY24" s="5"/>
      <c r="AZ24" s="5"/>
      <c r="BA24" s="5"/>
      <c r="BB24" s="5"/>
      <c r="BC24" s="5"/>
      <c r="BD24" s="5"/>
      <c r="BE24" s="5"/>
      <c r="BF24" s="5"/>
      <c r="BG24" s="5"/>
      <c r="BH24" s="5"/>
      <c r="BI24" s="5"/>
      <c r="BJ24" s="5"/>
      <c r="BK24" s="5"/>
    </row>
    <row r="25" spans="1:63" s="11" customFormat="1" ht="35.25" customHeight="1" x14ac:dyDescent="0.4">
      <c r="A25" s="5"/>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5"/>
      <c r="AT25" s="5"/>
      <c r="AU25" s="5"/>
      <c r="AV25" s="5"/>
      <c r="AW25" s="5"/>
      <c r="AX25" s="5"/>
      <c r="AY25" s="5"/>
      <c r="AZ25" s="5"/>
      <c r="BA25" s="5"/>
      <c r="BB25" s="5"/>
      <c r="BC25" s="5"/>
      <c r="BD25" s="5"/>
      <c r="BE25" s="5"/>
      <c r="BF25" s="5"/>
      <c r="BG25" s="5"/>
      <c r="BH25" s="5"/>
      <c r="BI25" s="5"/>
      <c r="BJ25" s="5"/>
      <c r="BK25" s="5"/>
    </row>
    <row r="26" spans="1:63" s="11" customFormat="1" ht="39.75" customHeight="1" x14ac:dyDescent="0.4">
      <c r="A26" s="5"/>
      <c r="B26" s="190" t="s">
        <v>258</v>
      </c>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5"/>
      <c r="AT26" s="5"/>
      <c r="AU26" s="5"/>
      <c r="AV26" s="5"/>
      <c r="AW26" s="5"/>
      <c r="AX26" s="5"/>
      <c r="AY26" s="5"/>
      <c r="AZ26" s="5"/>
      <c r="BA26" s="5"/>
      <c r="BB26" s="5"/>
      <c r="BC26" s="5"/>
      <c r="BD26" s="5"/>
      <c r="BE26" s="5"/>
      <c r="BF26" s="5"/>
      <c r="BG26" s="5"/>
      <c r="BH26" s="5"/>
      <c r="BI26" s="5"/>
      <c r="BJ26" s="5"/>
      <c r="BK26" s="5"/>
    </row>
    <row r="27" spans="1:63" s="11" customFormat="1" ht="35.25" customHeight="1" x14ac:dyDescent="0.4">
      <c r="A27" s="5"/>
      <c r="B27" s="6" t="s">
        <v>247</v>
      </c>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t="s">
        <v>248</v>
      </c>
      <c r="AL27" s="6"/>
      <c r="AM27" s="6"/>
      <c r="AN27" s="6"/>
      <c r="AO27" s="6"/>
      <c r="AP27" s="6"/>
      <c r="AQ27" s="6"/>
      <c r="AR27" s="6"/>
      <c r="AS27" s="5"/>
      <c r="AT27" s="5"/>
      <c r="AU27" s="5"/>
      <c r="AV27" s="5"/>
      <c r="AW27" s="5"/>
      <c r="AX27" s="5"/>
      <c r="AY27" s="5"/>
      <c r="AZ27" s="5"/>
      <c r="BA27" s="5"/>
      <c r="BB27" s="5"/>
      <c r="BC27" s="5"/>
      <c r="BD27" s="5"/>
      <c r="BE27" s="5"/>
      <c r="BF27" s="5"/>
      <c r="BG27" s="5"/>
      <c r="BH27" s="5"/>
      <c r="BI27" s="5"/>
      <c r="BJ27" s="5"/>
      <c r="BK27" s="5"/>
    </row>
    <row r="28" spans="1:63" s="11" customFormat="1" ht="35.25" customHeight="1" x14ac:dyDescent="0.4">
      <c r="A28" s="5"/>
      <c r="B28" s="6" t="s">
        <v>249</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t="s">
        <v>250</v>
      </c>
      <c r="AL28" s="6"/>
      <c r="AM28" s="6"/>
      <c r="AN28" s="6"/>
      <c r="AO28" s="6"/>
      <c r="AP28" s="6"/>
      <c r="AQ28" s="6"/>
      <c r="AR28" s="6"/>
      <c r="AS28" s="5"/>
      <c r="AT28" s="5"/>
      <c r="AU28" s="5"/>
      <c r="AV28" s="5"/>
      <c r="AW28" s="5"/>
      <c r="AX28" s="5"/>
      <c r="AY28" s="5"/>
      <c r="AZ28" s="5"/>
      <c r="BA28" s="5"/>
      <c r="BB28" s="5"/>
      <c r="BC28" s="5"/>
      <c r="BD28" s="5"/>
      <c r="BE28" s="5"/>
      <c r="BF28" s="5"/>
      <c r="BG28" s="5"/>
      <c r="BH28" s="5"/>
      <c r="BI28" s="5"/>
      <c r="BJ28" s="5"/>
      <c r="BK28" s="5"/>
    </row>
    <row r="29" spans="1:63" s="11" customFormat="1" ht="35.25" customHeight="1" x14ac:dyDescent="0.4">
      <c r="A29" s="5"/>
      <c r="B29" s="6" t="s">
        <v>251</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t="s">
        <v>252</v>
      </c>
      <c r="AL29" s="6"/>
      <c r="AM29" s="6"/>
      <c r="AN29" s="6"/>
      <c r="AO29" s="6"/>
      <c r="AP29" s="6"/>
      <c r="AQ29" s="6"/>
      <c r="AR29" s="6"/>
      <c r="AS29" s="5"/>
      <c r="AT29" s="5"/>
      <c r="AU29" s="5"/>
      <c r="AV29" s="5"/>
      <c r="AW29" s="5"/>
      <c r="AX29" s="5"/>
      <c r="AY29" s="5"/>
      <c r="AZ29" s="5"/>
      <c r="BA29" s="5"/>
      <c r="BB29" s="5"/>
      <c r="BC29" s="5"/>
      <c r="BD29" s="5"/>
      <c r="BE29" s="5"/>
      <c r="BF29" s="5"/>
      <c r="BG29" s="5"/>
      <c r="BH29" s="5"/>
      <c r="BI29" s="5"/>
      <c r="BJ29" s="5"/>
      <c r="BK29" s="5"/>
    </row>
    <row r="30" spans="1:63" s="11" customFormat="1" ht="35.25" customHeight="1" x14ac:dyDescent="0.4">
      <c r="A30" s="5"/>
      <c r="B30" s="6" t="s">
        <v>253</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t="s">
        <v>254</v>
      </c>
      <c r="AL30" s="6"/>
      <c r="AM30" s="6"/>
      <c r="AN30" s="6"/>
      <c r="AO30" s="6"/>
      <c r="AP30" s="6"/>
      <c r="AQ30" s="6"/>
      <c r="AR30" s="6"/>
      <c r="AS30" s="5"/>
      <c r="AT30" s="5"/>
      <c r="AU30" s="5"/>
      <c r="AV30" s="5"/>
      <c r="AW30" s="5"/>
      <c r="AX30" s="5"/>
      <c r="AY30" s="5"/>
      <c r="AZ30" s="5"/>
      <c r="BA30" s="5"/>
      <c r="BB30" s="5"/>
      <c r="BC30" s="5"/>
      <c r="BD30" s="5"/>
      <c r="BE30" s="5"/>
      <c r="BF30" s="5"/>
      <c r="BG30" s="5"/>
      <c r="BH30" s="5"/>
      <c r="BI30" s="5"/>
      <c r="BJ30" s="5"/>
      <c r="BK30" s="5"/>
    </row>
    <row r="31" spans="1:63" s="11" customFormat="1" ht="35.25" customHeight="1" x14ac:dyDescent="0.4">
      <c r="A31" s="5"/>
      <c r="B31" s="6" t="s">
        <v>255</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t="s">
        <v>256</v>
      </c>
      <c r="AL31" s="6"/>
      <c r="AM31" s="6"/>
      <c r="AN31" s="6"/>
      <c r="AO31" s="6"/>
      <c r="AP31" s="6"/>
      <c r="AQ31" s="6"/>
      <c r="AR31" s="6"/>
      <c r="AS31" s="5"/>
      <c r="AT31" s="5"/>
      <c r="AU31" s="5"/>
      <c r="AV31" s="5"/>
      <c r="AW31" s="5"/>
      <c r="AX31" s="5"/>
      <c r="AY31" s="5"/>
      <c r="AZ31" s="5"/>
      <c r="BA31" s="5"/>
      <c r="BB31" s="5"/>
      <c r="BC31" s="5"/>
      <c r="BD31" s="5"/>
      <c r="BE31" s="5"/>
      <c r="BF31" s="5"/>
      <c r="BG31" s="5"/>
      <c r="BH31" s="5"/>
      <c r="BI31" s="5"/>
      <c r="BJ31" s="5"/>
      <c r="BK31" s="5"/>
    </row>
    <row r="32" spans="1:63" s="11" customFormat="1" ht="35.25" customHeight="1" x14ac:dyDescent="0.4">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5"/>
      <c r="AT32" s="5"/>
      <c r="AU32" s="5"/>
      <c r="AV32" s="5"/>
      <c r="AW32" s="5"/>
      <c r="AX32" s="5"/>
      <c r="AY32" s="5"/>
      <c r="AZ32" s="5"/>
      <c r="BA32" s="5"/>
      <c r="BB32" s="5"/>
      <c r="BC32" s="5"/>
      <c r="BD32" s="5"/>
      <c r="BE32" s="5"/>
      <c r="BF32" s="5"/>
      <c r="BG32" s="5"/>
      <c r="BH32" s="5"/>
      <c r="BI32" s="5"/>
      <c r="BJ32" s="5"/>
      <c r="BK32" s="5"/>
    </row>
    <row r="33" spans="1:63" ht="17.399999999999999"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row>
    <row r="34" spans="1:63" ht="17.399999999999999"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row>
    <row r="35" spans="1:63" ht="17.399999999999999"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row>
    <row r="36" spans="1:63" ht="17.399999999999999"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row>
    <row r="37" spans="1:63" ht="17.399999999999999"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row>
    <row r="38" spans="1:63" ht="17.399999999999999"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row>
    <row r="39" spans="1:63" ht="17.399999999999999"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row>
    <row r="40" spans="1:63" ht="17.399999999999999"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row>
  </sheetData>
  <mergeCells count="10">
    <mergeCell ref="B26:AR26"/>
    <mergeCell ref="B21:AR21"/>
    <mergeCell ref="B13:AR13"/>
    <mergeCell ref="O12:Z12"/>
    <mergeCell ref="A2:BK2"/>
    <mergeCell ref="A3:BK3"/>
    <mergeCell ref="B4:AZ4"/>
    <mergeCell ref="AD7:AJ7"/>
    <mergeCell ref="AD8:AJ8"/>
    <mergeCell ref="B9:Q9"/>
  </mergeCells>
  <pageMargins left="0.39370078740157483" right="0.15748031496062992" top="0.39370078740157483" bottom="0.39370078740157483" header="0.51181102362204722" footer="0.51181102362204722"/>
  <pageSetup scale="52"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TP1 </vt:lpstr>
      <vt:lpstr>razılasdırma</vt:lpstr>
      <vt:lpstr>'TP1 '!Область_печати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Avtandil</dc:creator>
  <cp:lastModifiedBy>Zaur Aziz | CTO | Head of the Educational Innovations </cp:lastModifiedBy>
  <cp:lastPrinted>2026-06-02T06:36:43Z</cp:lastPrinted>
  <dcterms:created xsi:type="dcterms:W3CDTF">2007-02-10T15:13:49Z</dcterms:created>
  <dcterms:modified xsi:type="dcterms:W3CDTF">2026-09-02T11:19:43Z</dcterms:modified>
</cp:coreProperties>
</file>